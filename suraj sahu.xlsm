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uraj\OneDrive\Documents\"/>
    </mc:Choice>
  </mc:AlternateContent>
  <xr:revisionPtr revIDLastSave="0" documentId="13_ncr:1_{863D250A-E4FC-4295-982B-5333074254CF}" xr6:coauthVersionLast="47" xr6:coauthVersionMax="47" xr10:uidLastSave="{00000000-0000-0000-0000-000000000000}"/>
  <bookViews>
    <workbookView xWindow="-108" yWindow="-108" windowWidth="23256" windowHeight="12456" xr2:uid="{A142C691-A1A4-4827-B8D8-97C9DA61486B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  <sheet name="Sheet7" sheetId="7" r:id="rId7"/>
    <sheet name="Sheet8" sheetId="8" r:id="rId8"/>
    <sheet name="Sheet9" sheetId="9" r:id="rId9"/>
    <sheet name="Sheet10" sheetId="10" r:id="rId10"/>
    <sheet name="Sheet11" sheetId="11" r:id="rId11"/>
    <sheet name="Sheet12" sheetId="12" r:id="rId12"/>
    <sheet name="Sheet13" sheetId="13" r:id="rId13"/>
    <sheet name="Sheet14" sheetId="14" r:id="rId14"/>
    <sheet name="Sheet15" sheetId="15" r:id="rId15"/>
    <sheet name="Sheet16" sheetId="16" r:id="rId16"/>
    <sheet name="Sheet17" sheetId="17" r:id="rId17"/>
    <sheet name="Sheet18" sheetId="18" r:id="rId18"/>
    <sheet name="Sheet19" sheetId="19" r:id="rId19"/>
    <sheet name="Sheet20" sheetId="20" r:id="rId20"/>
    <sheet name="Sheet21" sheetId="21" r:id="rId21"/>
    <sheet name="Sheet22" sheetId="22" r:id="rId22"/>
    <sheet name="Sheet23" sheetId="23" r:id="rId23"/>
    <sheet name="Sheet24" sheetId="24" r:id="rId24"/>
    <sheet name="Sheet25" sheetId="25" r:id="rId25"/>
    <sheet name="Sheet26" sheetId="26" r:id="rId26"/>
    <sheet name="Sheet27" sheetId="27" r:id="rId27"/>
    <sheet name="Sheet28" sheetId="28" r:id="rId28"/>
    <sheet name="Sheet29" sheetId="29" r:id="rId29"/>
    <sheet name="Sheet30" sheetId="30" r:id="rId30"/>
    <sheet name="Sheet31" sheetId="31" r:id="rId31"/>
    <sheet name="Sheet32" sheetId="32" r:id="rId32"/>
    <sheet name="Sheet33" sheetId="33" r:id="rId33"/>
    <sheet name="Sheet34" sheetId="34" r:id="rId34"/>
    <sheet name="Sheet35" sheetId="35" r:id="rId35"/>
    <sheet name="Sheet36" sheetId="36" r:id="rId36"/>
    <sheet name="Sheet37" sheetId="37" r:id="rId37"/>
    <sheet name="Sheet38" sheetId="38" r:id="rId38"/>
    <sheet name="Sheet39" sheetId="39" r:id="rId39"/>
    <sheet name="Sheet40" sheetId="40" r:id="rId40"/>
    <sheet name="Sheet41" sheetId="41" r:id="rId41"/>
    <sheet name="Sheet42" sheetId="42" r:id="rId42"/>
    <sheet name="Sheet43" sheetId="43" r:id="rId43"/>
    <sheet name="Sheet44" sheetId="44" r:id="rId44"/>
    <sheet name="Sheet45" sheetId="45" r:id="rId45"/>
    <sheet name="Sheet46" sheetId="46" r:id="rId46"/>
    <sheet name="Sheet47" sheetId="47" r:id="rId47"/>
    <sheet name="Sheet48" sheetId="48" r:id="rId48"/>
    <sheet name="Sheet49" sheetId="49" r:id="rId49"/>
    <sheet name="Sheet50" sheetId="50" r:id="rId50"/>
    <sheet name="Sheet51" sheetId="51" r:id="rId51"/>
    <sheet name="Sheet52" sheetId="52" r:id="rId52"/>
    <sheet name="Sheet53" sheetId="53" r:id="rId53"/>
    <sheet name="Sheet54" sheetId="54" r:id="rId54"/>
    <sheet name="Sheet55" sheetId="55" r:id="rId55"/>
    <sheet name="Sheet56" sheetId="56" r:id="rId56"/>
    <sheet name="Sheet57" sheetId="57" r:id="rId57"/>
    <sheet name="Sheet58" sheetId="58" r:id="rId58"/>
    <sheet name="Sheet59" sheetId="59" r:id="rId59"/>
    <sheet name="Sheet60" sheetId="60" r:id="rId60"/>
    <sheet name="Sheet61" sheetId="61" r:id="rId61"/>
    <sheet name="Sheet62" sheetId="62" r:id="rId62"/>
    <sheet name="Sheet63" sheetId="63" r:id="rId63"/>
    <sheet name="Sheet64" sheetId="64" r:id="rId64"/>
    <sheet name="Sheet65" sheetId="65" r:id="rId65"/>
    <sheet name="Sheet66" sheetId="66" r:id="rId66"/>
    <sheet name="Sheet67" sheetId="67" r:id="rId67"/>
    <sheet name="Sheet68" sheetId="68" r:id="rId68"/>
    <sheet name="Sheet69" sheetId="69" r:id="rId69"/>
    <sheet name="Sheet70" sheetId="70" r:id="rId70"/>
    <sheet name="Sheet71" sheetId="71" r:id="rId71"/>
    <sheet name="Sheet72" sheetId="72" r:id="rId72"/>
    <sheet name="Sheet73" sheetId="73" r:id="rId73"/>
    <sheet name="Sheet74" sheetId="74" r:id="rId74"/>
    <sheet name="Sheet75" sheetId="75" r:id="rId75"/>
    <sheet name="Sheet76" sheetId="76" r:id="rId76"/>
    <sheet name="Sheet77" sheetId="77" r:id="rId77"/>
    <sheet name="Sheet78" sheetId="78" r:id="rId78"/>
    <sheet name="Sheet79" sheetId="79" r:id="rId79"/>
    <sheet name="Sheet80" sheetId="80" r:id="rId80"/>
    <sheet name="Sheet81" sheetId="81" r:id="rId81"/>
    <sheet name="Sheet82" sheetId="82" r:id="rId82"/>
    <sheet name="Sheet83" sheetId="83" r:id="rId83"/>
    <sheet name="Sheet84" sheetId="84" r:id="rId84"/>
    <sheet name="Sheet85" sheetId="85" r:id="rId85"/>
    <sheet name="Sheet86" sheetId="86" r:id="rId86"/>
    <sheet name="Sheet87" sheetId="87" r:id="rId87"/>
    <sheet name="Sheet88" sheetId="88" r:id="rId88"/>
    <sheet name="Sheet89" sheetId="89" r:id="rId89"/>
    <sheet name="Sheet90" sheetId="90" r:id="rId90"/>
    <sheet name="Sheet91" sheetId="91" r:id="rId91"/>
    <sheet name="Sheet92" sheetId="92" r:id="rId92"/>
    <sheet name="Sheet93" sheetId="93" r:id="rId93"/>
    <sheet name="Sheet94" sheetId="94" r:id="rId94"/>
    <sheet name="Sheet95" sheetId="95" r:id="rId95"/>
    <sheet name="Sheet96" sheetId="96" r:id="rId96"/>
    <sheet name="Sheet97" sheetId="97" r:id="rId97"/>
    <sheet name="Sheet98" sheetId="98" r:id="rId98"/>
    <sheet name="Sheet99" sheetId="99" r:id="rId99"/>
    <sheet name="Sheet100" sheetId="100" r:id="rId100"/>
    <sheet name="Sheet101" sheetId="101" r:id="rId101"/>
    <sheet name="Sheet102" sheetId="102" r:id="rId102"/>
    <sheet name="Sheet103" sheetId="103" r:id="rId103"/>
    <sheet name="Sheet104" sheetId="104" r:id="rId104"/>
    <sheet name="Sheet105" sheetId="105" r:id="rId105"/>
    <sheet name="Sheet106" sheetId="106" r:id="rId106"/>
    <sheet name="Sheet107" sheetId="107" r:id="rId107"/>
    <sheet name="Sheet108" sheetId="108" r:id="rId108"/>
    <sheet name="Sheet109" sheetId="109" r:id="rId109"/>
    <sheet name="Sheet110" sheetId="110" r:id="rId110"/>
    <sheet name="Sheet111" sheetId="111" r:id="rId111"/>
    <sheet name="Sheet112" sheetId="112" r:id="rId112"/>
    <sheet name="Sheet113" sheetId="113" r:id="rId113"/>
    <sheet name="Sheet114" sheetId="114" r:id="rId114"/>
    <sheet name="Sheet115" sheetId="115" r:id="rId115"/>
    <sheet name="Sheet116" sheetId="116" r:id="rId116"/>
    <sheet name="Sheet117" sheetId="117" r:id="rId117"/>
    <sheet name="Sheet118" sheetId="118" r:id="rId118"/>
    <sheet name="Sheet119" sheetId="119" r:id="rId119"/>
    <sheet name="Sheet120" sheetId="120" r:id="rId120"/>
    <sheet name="Sheet121" sheetId="121" r:id="rId121"/>
    <sheet name="Sheet122" sheetId="122" r:id="rId122"/>
    <sheet name="Sheet123" sheetId="123" r:id="rId123"/>
    <sheet name="Sheet124" sheetId="124" r:id="rId124"/>
    <sheet name="Sheet125" sheetId="125" r:id="rId125"/>
    <sheet name="Sheet126" sheetId="126" r:id="rId126"/>
    <sheet name="Sheet127" sheetId="127" r:id="rId127"/>
    <sheet name="Sheet128" sheetId="128" r:id="rId128"/>
    <sheet name="Sheet129" sheetId="129" r:id="rId129"/>
    <sheet name="Sheet130" sheetId="130" r:id="rId130"/>
    <sheet name="Sheet131" sheetId="131" r:id="rId131"/>
    <sheet name="Sheet132" sheetId="132" r:id="rId132"/>
    <sheet name="Sheet133" sheetId="133" r:id="rId133"/>
    <sheet name="Sheet134" sheetId="134" r:id="rId134"/>
    <sheet name="Sheet135" sheetId="135" r:id="rId135"/>
    <sheet name="Sheet136" sheetId="136" r:id="rId136"/>
    <sheet name="Sheet137" sheetId="137" r:id="rId137"/>
    <sheet name="Sheet138" sheetId="138" r:id="rId138"/>
    <sheet name="Sheet139" sheetId="139" r:id="rId139"/>
    <sheet name="Sheet140" sheetId="140" r:id="rId140"/>
    <sheet name="Sheet141" sheetId="141" r:id="rId141"/>
    <sheet name="Sheet142" sheetId="142" r:id="rId142"/>
    <sheet name="Sheet143" sheetId="143" r:id="rId143"/>
    <sheet name="Sheet144" sheetId="144" r:id="rId144"/>
    <sheet name="Sheet145" sheetId="145" r:id="rId145"/>
    <sheet name="Sheet146" sheetId="146" r:id="rId146"/>
    <sheet name="Sheet147" sheetId="147" r:id="rId147"/>
    <sheet name="Sheet148" sheetId="148" r:id="rId148"/>
    <sheet name="Sheet149" sheetId="149" r:id="rId149"/>
    <sheet name="Sheet150" sheetId="150" r:id="rId150"/>
    <sheet name="Sheet151" sheetId="151" r:id="rId151"/>
    <sheet name="Sheet152" sheetId="152" r:id="rId152"/>
    <sheet name="Sheet153" sheetId="153" r:id="rId153"/>
    <sheet name="Sheet154" sheetId="154" r:id="rId154"/>
    <sheet name="Sheet155" sheetId="155" r:id="rId155"/>
    <sheet name="Sheet156" sheetId="156" r:id="rId156"/>
    <sheet name="Sheet157" sheetId="157" r:id="rId157"/>
    <sheet name="Sheet158" sheetId="158" r:id="rId158"/>
    <sheet name="Sheet159" sheetId="159" r:id="rId159"/>
    <sheet name="Sheet160" sheetId="160" r:id="rId160"/>
    <sheet name="Sheet161" sheetId="161" r:id="rId161"/>
    <sheet name="Sheet162" sheetId="162" r:id="rId162"/>
    <sheet name="Sheet163" sheetId="163" r:id="rId163"/>
    <sheet name="Sheet164" sheetId="164" r:id="rId164"/>
    <sheet name="Sheet165" sheetId="165" r:id="rId165"/>
    <sheet name="Sheet166" sheetId="166" r:id="rId166"/>
    <sheet name="Sheet167" sheetId="167" r:id="rId167"/>
    <sheet name="Sheet168" sheetId="168" r:id="rId168"/>
    <sheet name="Sheet169" sheetId="169" r:id="rId169"/>
    <sheet name="Sheet170" sheetId="170" r:id="rId170"/>
    <sheet name="Sheet171" sheetId="171" r:id="rId171"/>
    <sheet name="Sheet172" sheetId="172" r:id="rId172"/>
    <sheet name="Sheet173" sheetId="173" r:id="rId173"/>
    <sheet name="Sheet174" sheetId="174" r:id="rId174"/>
    <sheet name="Sheet175" sheetId="175" r:id="rId175"/>
    <sheet name="Sheet176" sheetId="176" r:id="rId176"/>
    <sheet name="Sheet177" sheetId="177" r:id="rId177"/>
    <sheet name="Sheet178" sheetId="178" r:id="rId178"/>
    <sheet name="Sheet179" sheetId="179" r:id="rId179"/>
    <sheet name="Sheet180" sheetId="180" r:id="rId180"/>
    <sheet name="Sheet181" sheetId="181" r:id="rId181"/>
    <sheet name="Sheet182" sheetId="182" r:id="rId182"/>
    <sheet name="Sheet183" sheetId="183" r:id="rId183"/>
    <sheet name="Sheet184" sheetId="184" r:id="rId184"/>
    <sheet name="Sheet185" sheetId="185" r:id="rId185"/>
    <sheet name="Sheet186" sheetId="186" r:id="rId186"/>
    <sheet name="Sheet187" sheetId="187" r:id="rId187"/>
    <sheet name="Sheet188" sheetId="188" r:id="rId188"/>
    <sheet name="Sheet189" sheetId="189" r:id="rId189"/>
    <sheet name="Sheet190" sheetId="190" r:id="rId190"/>
    <sheet name="Sheet191" sheetId="191" r:id="rId191"/>
    <sheet name="Sheet192" sheetId="192" r:id="rId192"/>
    <sheet name="Sheet193" sheetId="193" r:id="rId193"/>
    <sheet name="Sheet194" sheetId="194" r:id="rId194"/>
    <sheet name="Sheet195" sheetId="195" r:id="rId195"/>
    <sheet name="Sheet196" sheetId="196" r:id="rId196"/>
    <sheet name="Sheet197" sheetId="197" r:id="rId197"/>
    <sheet name="Sheet198" sheetId="198" r:id="rId198"/>
    <sheet name="Sheet199" sheetId="199" r:id="rId199"/>
    <sheet name="Sheet200" sheetId="200" r:id="rId200"/>
    <sheet name="Sheet201" sheetId="201" r:id="rId201"/>
    <sheet name="Sheet202" sheetId="202" r:id="rId202"/>
    <sheet name="Sheet203" sheetId="203" r:id="rId203"/>
    <sheet name="Sheet204" sheetId="204" r:id="rId204"/>
    <sheet name="Sheet205" sheetId="205" r:id="rId205"/>
    <sheet name="Sheet206" sheetId="206" r:id="rId206"/>
    <sheet name="Sheet207" sheetId="207" r:id="rId207"/>
    <sheet name="Sheet208" sheetId="208" r:id="rId208"/>
    <sheet name="Sheet209" sheetId="209" r:id="rId209"/>
    <sheet name="Sheet210" sheetId="210" r:id="rId210"/>
    <sheet name="Sheet211" sheetId="211" r:id="rId211"/>
    <sheet name="Sheet212" sheetId="212" r:id="rId212"/>
    <sheet name="Sheet213" sheetId="213" r:id="rId213"/>
    <sheet name="Sheet214" sheetId="214" r:id="rId214"/>
    <sheet name="Sheet215" sheetId="215" r:id="rId215"/>
    <sheet name="Sheet216" sheetId="216" r:id="rId216"/>
    <sheet name="Sheet217" sheetId="217" r:id="rId217"/>
    <sheet name="Sheet218" sheetId="218" r:id="rId218"/>
    <sheet name="Sheet219" sheetId="219" r:id="rId219"/>
    <sheet name="Sheet220" sheetId="220" r:id="rId220"/>
    <sheet name="Sheet221" sheetId="221" r:id="rId221"/>
    <sheet name="Sheet222" sheetId="222" r:id="rId222"/>
    <sheet name="Sheet223" sheetId="223" r:id="rId223"/>
    <sheet name="Sheet224" sheetId="224" r:id="rId224"/>
    <sheet name="Sheet225" sheetId="225" r:id="rId225"/>
    <sheet name="Sheet226" sheetId="226" r:id="rId226"/>
    <sheet name="Sheet227" sheetId="227" r:id="rId227"/>
    <sheet name="Sheet228" sheetId="228" r:id="rId228"/>
    <sheet name="Sheet229" sheetId="229" r:id="rId229"/>
    <sheet name="Sheet230" sheetId="230" r:id="rId230"/>
    <sheet name="Sheet231" sheetId="231" r:id="rId231"/>
    <sheet name="Sheet232" sheetId="232" r:id="rId232"/>
    <sheet name="Sheet233" sheetId="233" r:id="rId233"/>
    <sheet name="Sheet234" sheetId="234" r:id="rId234"/>
    <sheet name="Sheet235" sheetId="235" r:id="rId235"/>
    <sheet name="Sheet236" sheetId="236" r:id="rId236"/>
    <sheet name="Sheet237" sheetId="237" r:id="rId237"/>
    <sheet name="Sheet238" sheetId="238" r:id="rId238"/>
    <sheet name="Sheet239" sheetId="239" r:id="rId239"/>
    <sheet name="Sheet240" sheetId="240" r:id="rId240"/>
    <sheet name="Sheet241" sheetId="241" r:id="rId241"/>
    <sheet name="Sheet242" sheetId="242" r:id="rId242"/>
    <sheet name="Sheet243" sheetId="243" r:id="rId243"/>
    <sheet name="Sheet244" sheetId="244" r:id="rId244"/>
    <sheet name="Sheet245" sheetId="245" r:id="rId245"/>
    <sheet name="Sheet246" sheetId="246" r:id="rId246"/>
    <sheet name="Sheet247" sheetId="247" r:id="rId247"/>
    <sheet name="Sheet248" sheetId="248" r:id="rId248"/>
    <sheet name="Sheet249" sheetId="249" r:id="rId249"/>
    <sheet name="Sheet250" sheetId="250" r:id="rId250"/>
    <sheet name="Sheet251" sheetId="251" r:id="rId251"/>
    <sheet name="Sheet252" sheetId="252" r:id="rId252"/>
    <sheet name="Sheet253" sheetId="253" r:id="rId253"/>
    <sheet name="Sheet254" sheetId="254" r:id="rId254"/>
    <sheet name="Sheet255" sheetId="255" r:id="rId25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7" i="1" l="1"/>
  <c r="W10" i="1" l="1"/>
  <c r="M10" i="1"/>
  <c r="H10" i="1"/>
  <c r="Q10" i="1" s="1"/>
  <c r="F10" i="1"/>
  <c r="G10" i="1" s="1"/>
  <c r="I10" i="1" l="1"/>
  <c r="R10" i="1"/>
  <c r="S10" i="1" s="1"/>
  <c r="T10" i="1" s="1"/>
  <c r="K10" i="1" l="1"/>
  <c r="J10" i="1"/>
  <c r="B10" i="1" l="1"/>
  <c r="P4" i="1"/>
  <c r="W9" i="1"/>
  <c r="Q9" i="1"/>
  <c r="Q8" i="1"/>
  <c r="M9" i="1"/>
  <c r="S9" i="1"/>
  <c r="T9" i="1" s="1"/>
  <c r="R9" i="1"/>
  <c r="K9" i="1"/>
  <c r="J9" i="1"/>
  <c r="I9" i="1"/>
  <c r="H9" i="1"/>
  <c r="G9" i="1"/>
  <c r="F9" i="1"/>
  <c r="B9" i="1"/>
  <c r="W8" i="1"/>
  <c r="M8" i="1"/>
  <c r="W7" i="1"/>
  <c r="H8" i="1"/>
  <c r="F8" i="1"/>
  <c r="G8" i="1" s="1"/>
  <c r="B8" i="1"/>
  <c r="H7" i="1"/>
  <c r="M7" i="1"/>
  <c r="F7" i="1"/>
  <c r="G7" i="1" s="1"/>
  <c r="Q2" i="1" s="1"/>
  <c r="B7" i="1"/>
  <c r="I8" i="1" l="1"/>
  <c r="I7" i="1"/>
  <c r="K7" i="1" s="1"/>
  <c r="R8" i="1"/>
  <c r="S8" i="1" s="1"/>
  <c r="T8" i="1" s="1"/>
  <c r="R7" i="1"/>
  <c r="S7" i="1" s="1"/>
  <c r="T7" i="1" l="1"/>
  <c r="O2" i="1" s="1"/>
  <c r="L2" i="1"/>
  <c r="K8" i="1"/>
  <c r="J8" i="1"/>
  <c r="J7" i="1"/>
</calcChain>
</file>

<file path=xl/sharedStrings.xml><?xml version="1.0" encoding="utf-8"?>
<sst xmlns="http://schemas.openxmlformats.org/spreadsheetml/2006/main" count="51" uniqueCount="35">
  <si>
    <t>Date</t>
  </si>
  <si>
    <t>Stock In</t>
  </si>
  <si>
    <t>S No.</t>
  </si>
  <si>
    <t xml:space="preserve">Item </t>
  </si>
  <si>
    <t>Quantity</t>
  </si>
  <si>
    <t>Rate</t>
  </si>
  <si>
    <t>GST 5%</t>
  </si>
  <si>
    <t>Amount</t>
  </si>
  <si>
    <t>Stock Out</t>
  </si>
  <si>
    <t>Item</t>
  </si>
  <si>
    <t>Proft Margin</t>
  </si>
  <si>
    <t>Balance Quantity</t>
  </si>
  <si>
    <t>PROFIT</t>
  </si>
  <si>
    <t>PURCHASE</t>
  </si>
  <si>
    <t>Cup</t>
  </si>
  <si>
    <t>Profit Margin</t>
  </si>
  <si>
    <t>Total cost</t>
  </si>
  <si>
    <t xml:space="preserve"> Amonut</t>
  </si>
  <si>
    <t>Sell Rate(25%)</t>
  </si>
  <si>
    <t>Per/Q</t>
  </si>
  <si>
    <t>BALA JI TRADER'S</t>
  </si>
  <si>
    <t>spoon</t>
  </si>
  <si>
    <t>SALES</t>
  </si>
  <si>
    <t>Customer</t>
  </si>
  <si>
    <t>ab</t>
  </si>
  <si>
    <t>cd</t>
  </si>
  <si>
    <t>Mode</t>
  </si>
  <si>
    <t xml:space="preserve">cash </t>
  </si>
  <si>
    <t>plate</t>
  </si>
  <si>
    <t>ef</t>
  </si>
  <si>
    <t xml:space="preserve">Credit </t>
  </si>
  <si>
    <t xml:space="preserve">online </t>
  </si>
  <si>
    <t>table</t>
  </si>
  <si>
    <t>gh</t>
  </si>
  <si>
    <t>Stock Balance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</si>
</sst>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\ #,##0.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i/>
      <u/>
      <sz val="12"/>
      <color theme="1"/>
      <name val="Times New Roman"/>
      <family val="1"/>
    </font>
    <font>
      <b/>
      <i/>
      <u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i/>
      <u/>
      <sz val="16"/>
      <color theme="1"/>
      <name val="Calibri"/>
      <family val="2"/>
      <scheme val="minor"/>
    </font>
    <font>
      <b/>
      <i/>
      <u/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u/>
      <sz val="24"/>
      <color theme="1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CEB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5D3FF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1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4" fillId="5" borderId="5" xfId="0" applyFont="1" applyFill="1" applyBorder="1" applyAlignment="1">
      <alignment horizontal="center" vertical="center"/>
    </xf>
    <xf numFmtId="164" fontId="7" fillId="5" borderId="6" xfId="0" applyNumberFormat="1" applyFont="1" applyFill="1" applyBorder="1" applyAlignment="1">
      <alignment horizontal="center" vertical="center"/>
    </xf>
    <xf numFmtId="164" fontId="7" fillId="6" borderId="6" xfId="0" applyNumberFormat="1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4" fontId="0" fillId="0" borderId="1" xfId="0" applyNumberFormat="1" applyBorder="1"/>
    <xf numFmtId="0" fontId="8" fillId="0" borderId="0" xfId="0" applyFont="1"/>
    <xf numFmtId="0" fontId="6" fillId="0" borderId="0" xfId="0" applyFont="1"/>
    <xf numFmtId="0" fontId="3" fillId="6" borderId="5" xfId="0" applyFont="1" applyFill="1" applyBorder="1" applyAlignment="1">
      <alignment horizontal="center" vertical="center"/>
    </xf>
    <xf numFmtId="0" fontId="3" fillId="6" borderId="7" xfId="0" applyFont="1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0" fontId="9" fillId="0" borderId="10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5" fillId="2" borderId="5" xfId="0" applyFont="1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5" fillId="4" borderId="19" xfId="0" applyFont="1" applyFill="1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0" fontId="1" fillId="2" borderId="21" xfId="0" applyFont="1" applyFill="1" applyBorder="1" applyAlignment="1">
      <alignment horizontal="center" vertical="center"/>
    </xf>
    <xf numFmtId="0" fontId="1" fillId="3" borderId="21" xfId="0" applyFont="1" applyFill="1" applyBorder="1" applyAlignment="1">
      <alignment horizontal="center" vertical="center"/>
    </xf>
    <xf numFmtId="0" fontId="1" fillId="4" borderId="21" xfId="0" applyFont="1" applyFill="1" applyBorder="1" applyAlignment="1">
      <alignment horizontal="center" vertical="center"/>
    </xf>
    <xf numFmtId="0" fontId="1" fillId="4" borderId="20" xfId="0" applyFont="1" applyFill="1" applyBorder="1" applyAlignment="1">
      <alignment vertical="center"/>
    </xf>
    <xf numFmtId="164" fontId="0" fillId="0" borderId="9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4" fontId="0" fillId="0" borderId="18" xfId="0" applyNumberFormat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/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1" fillId="2" borderId="25" xfId="0" applyFont="1" applyFill="1" applyBorder="1" applyAlignment="1">
      <alignment horizontal="center" vertical="center"/>
    </xf>
    <xf numFmtId="0" fontId="1" fillId="3" borderId="26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2" borderId="26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1" fillId="8" borderId="10" xfId="0" applyFont="1" applyFill="1" applyBorder="1" applyAlignment="1">
      <alignment horizontal="center" vertical="center"/>
    </xf>
    <xf numFmtId="0" fontId="11" fillId="8" borderId="11" xfId="0" applyFont="1" applyFill="1" applyBorder="1" applyAlignment="1">
      <alignment horizontal="center" vertical="center"/>
    </xf>
    <xf numFmtId="0" fontId="11" fillId="8" borderId="12" xfId="0" applyFont="1" applyFill="1" applyBorder="1" applyAlignment="1">
      <alignment horizontal="center" vertical="center"/>
    </xf>
    <xf numFmtId="0" fontId="11" fillId="8" borderId="13" xfId="0" applyFont="1" applyFill="1" applyBorder="1" applyAlignment="1">
      <alignment horizontal="center" vertical="center"/>
    </xf>
    <xf numFmtId="0" fontId="11" fillId="8" borderId="0" xfId="0" applyFont="1" applyFill="1" applyBorder="1" applyAlignment="1">
      <alignment horizontal="center" vertical="center"/>
    </xf>
    <xf numFmtId="0" fontId="11" fillId="8" borderId="14" xfId="0" applyFont="1" applyFill="1" applyBorder="1" applyAlignment="1">
      <alignment horizontal="center" vertical="center"/>
    </xf>
    <xf numFmtId="0" fontId="11" fillId="8" borderId="15" xfId="0" applyFont="1" applyFill="1" applyBorder="1" applyAlignment="1">
      <alignment horizontal="center" vertical="center"/>
    </xf>
    <xf numFmtId="0" fontId="11" fillId="8" borderId="16" xfId="0" applyFont="1" applyFill="1" applyBorder="1" applyAlignment="1">
      <alignment horizontal="center" vertical="center"/>
    </xf>
    <xf numFmtId="0" fontId="11" fillId="8" borderId="17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/>
    </xf>
    <xf numFmtId="164" fontId="7" fillId="7" borderId="7" xfId="0" applyNumberFormat="1" applyFont="1" applyFill="1" applyBorder="1"/>
    <xf numFmtId="0" fontId="0" fillId="0" borderId="13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13" xfId="0" applyBorder="1"/>
    <xf numFmtId="0" fontId="0" fillId="0" borderId="0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</cellXfs>
  <cellStyles count="1">
    <cellStyle name="Normal" xfId="0" builtinId="0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calcChain" Target="calcChain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theme" Target="theme/theme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Sheet1!$K$2</c:f>
              <c:strCache>
                <c:ptCount val="1"/>
                <c:pt idx="0">
                  <c:v>SALES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333-4FFC-AFD2-7C04E62C6EB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333-4FFC-AFD2-7C04E62C6EB6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1333-4FFC-AFD2-7C04E62C6EB6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val>
            <c:numRef>
              <c:f>(Sheet1!$L$2,Sheet1!$P$2:$Q$2)</c:f>
              <c:numCache>
                <c:formatCode>General</c:formatCode>
                <c:ptCount val="3"/>
                <c:pt idx="0" formatCode="&quot;₹&quot;\ #,##0.0">
                  <c:v>1555</c:v>
                </c:pt>
                <c:pt idx="1">
                  <c:v>0</c:v>
                </c:pt>
                <c:pt idx="2" formatCode="&quot;₹&quot;\ #,##0.0">
                  <c:v>2730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2D-4A70-9508-2364A1A054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107842</xdr:colOff>
      <xdr:row>0</xdr:row>
      <xdr:rowOff>82008</xdr:rowOff>
    </xdr:from>
    <xdr:to>
      <xdr:col>19</xdr:col>
      <xdr:colOff>679372</xdr:colOff>
      <xdr:row>3</xdr:row>
      <xdr:rowOff>218997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04117A8-1D31-D505-4844-CCDE942ED4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10644-62FD-4BB2-A0E6-91FFA08FA249}">
  <dimension ref="A1:W1102"/>
  <sheetViews>
    <sheetView showGridLines="0" tabSelected="1" zoomScale="83" workbookViewId="0">
      <selection activeCell="H19" sqref="H19"/>
    </sheetView>
  </sheetViews>
  <sheetFormatPr defaultRowHeight="14.4" x14ac:dyDescent="0.3"/>
  <cols>
    <col min="2" max="2" width="11" bestFit="1" customWidth="1"/>
    <col min="3" max="3" width="10" bestFit="1" customWidth="1"/>
    <col min="8" max="8" width="12.77734375" bestFit="1" customWidth="1"/>
    <col min="9" max="9" width="9.44140625" bestFit="1" customWidth="1"/>
    <col min="10" max="10" width="11.77734375" bestFit="1" customWidth="1"/>
    <col min="11" max="11" width="11.6640625" customWidth="1"/>
    <col min="12" max="12" width="11.6640625" bestFit="1" customWidth="1"/>
    <col min="13" max="13" width="11" bestFit="1" customWidth="1"/>
    <col min="14" max="14" width="11" customWidth="1"/>
    <col min="15" max="15" width="10.33203125" bestFit="1" customWidth="1"/>
    <col min="16" max="16" width="13.5546875" customWidth="1"/>
    <col min="17" max="17" width="11.5546875" bestFit="1" customWidth="1"/>
    <col min="19" max="19" width="13.88671875" customWidth="1"/>
    <col min="20" max="20" width="11.21875" bestFit="1" customWidth="1"/>
    <col min="21" max="21" width="11.21875" customWidth="1"/>
    <col min="23" max="23" width="16.109375" bestFit="1" customWidth="1"/>
  </cols>
  <sheetData>
    <row r="1" spans="1:23" ht="14.4" customHeight="1" thickBot="1" x14ac:dyDescent="0.35">
      <c r="A1" s="54" t="s">
        <v>20</v>
      </c>
      <c r="B1" s="55"/>
      <c r="C1" s="55"/>
      <c r="D1" s="55"/>
      <c r="E1" s="55"/>
      <c r="F1" s="55"/>
      <c r="G1" s="55"/>
      <c r="H1" s="55"/>
      <c r="I1" s="56"/>
      <c r="J1" s="4"/>
      <c r="K1" s="4"/>
      <c r="L1" s="4"/>
      <c r="R1" s="25"/>
      <c r="S1" s="26"/>
      <c r="T1" s="27"/>
    </row>
    <row r="2" spans="1:23" ht="18" customHeight="1" thickBot="1" x14ac:dyDescent="0.4">
      <c r="A2" s="57"/>
      <c r="B2" s="58"/>
      <c r="C2" s="58"/>
      <c r="D2" s="58"/>
      <c r="E2" s="58"/>
      <c r="F2" s="58"/>
      <c r="G2" s="58"/>
      <c r="H2" s="58"/>
      <c r="I2" s="59"/>
      <c r="J2" s="4"/>
      <c r="K2" s="6" t="s">
        <v>22</v>
      </c>
      <c r="L2" s="7">
        <f>SUM(S7:S38)</f>
        <v>1555</v>
      </c>
      <c r="M2" s="14" t="s">
        <v>12</v>
      </c>
      <c r="N2" s="15"/>
      <c r="O2" s="8">
        <f>SUM(T7:T38)</f>
        <v>285</v>
      </c>
      <c r="P2" s="9" t="s">
        <v>13</v>
      </c>
      <c r="Q2" s="64">
        <f>SUM(G7:G38)</f>
        <v>2730</v>
      </c>
      <c r="R2" s="65"/>
      <c r="S2" s="66"/>
      <c r="T2" s="67"/>
    </row>
    <row r="3" spans="1:23" ht="14.4" customHeight="1" thickBot="1" x14ac:dyDescent="0.35">
      <c r="A3" s="60"/>
      <c r="B3" s="61"/>
      <c r="C3" s="61"/>
      <c r="D3" s="61"/>
      <c r="E3" s="61"/>
      <c r="F3" s="61"/>
      <c r="G3" s="61"/>
      <c r="H3" s="61"/>
      <c r="I3" s="62"/>
      <c r="J3" s="5"/>
      <c r="K3" s="5"/>
      <c r="L3" s="5"/>
      <c r="M3" s="16"/>
      <c r="N3" s="17"/>
      <c r="O3" s="17"/>
      <c r="P3" s="18"/>
      <c r="R3" s="65"/>
      <c r="S3" s="66"/>
      <c r="T3" s="67"/>
    </row>
    <row r="4" spans="1:23" ht="24" thickBot="1" x14ac:dyDescent="0.45">
      <c r="A4" s="25"/>
      <c r="B4" s="26"/>
      <c r="C4" s="26"/>
      <c r="D4" s="26"/>
      <c r="E4" s="26"/>
      <c r="F4" s="26"/>
      <c r="G4" s="26"/>
      <c r="H4" s="26"/>
      <c r="I4" s="26"/>
      <c r="J4" s="27"/>
      <c r="K4" s="12"/>
      <c r="L4" s="13"/>
      <c r="M4" s="19" t="s">
        <v>30</v>
      </c>
      <c r="N4" s="20"/>
      <c r="O4" s="20"/>
      <c r="P4" s="21">
        <f>SUMIF(U7:U38,M4,S7:S39)</f>
        <v>810</v>
      </c>
      <c r="R4" s="68"/>
      <c r="S4" s="63"/>
      <c r="T4" s="69"/>
    </row>
    <row r="5" spans="1:23" ht="21.6" thickBot="1" x14ac:dyDescent="0.35">
      <c r="A5" s="28" t="s">
        <v>1</v>
      </c>
      <c r="B5" s="29"/>
      <c r="C5" s="29"/>
      <c r="D5" s="29"/>
      <c r="E5" s="29"/>
      <c r="F5" s="29"/>
      <c r="G5" s="29"/>
      <c r="H5" s="29"/>
      <c r="I5" s="29"/>
      <c r="J5" s="29"/>
      <c r="K5" s="30"/>
      <c r="L5" s="22" t="s">
        <v>8</v>
      </c>
      <c r="M5" s="23"/>
      <c r="N5" s="23"/>
      <c r="O5" s="23"/>
      <c r="P5" s="23"/>
      <c r="Q5" s="23"/>
      <c r="R5" s="23"/>
      <c r="S5" s="23"/>
      <c r="T5" s="23"/>
      <c r="U5" s="24"/>
      <c r="V5" s="31" t="s">
        <v>34</v>
      </c>
      <c r="W5" s="32"/>
    </row>
    <row r="6" spans="1:23" ht="15" thickBot="1" x14ac:dyDescent="0.35">
      <c r="A6" s="53" t="s">
        <v>2</v>
      </c>
      <c r="B6" s="52" t="s">
        <v>0</v>
      </c>
      <c r="C6" s="36" t="s">
        <v>3</v>
      </c>
      <c r="D6" s="36" t="s">
        <v>4</v>
      </c>
      <c r="E6" s="36" t="s">
        <v>5</v>
      </c>
      <c r="F6" s="36" t="s">
        <v>6</v>
      </c>
      <c r="G6" s="36" t="s">
        <v>16</v>
      </c>
      <c r="H6" s="36" t="s">
        <v>18</v>
      </c>
      <c r="I6" s="36" t="s">
        <v>17</v>
      </c>
      <c r="J6" s="36" t="s">
        <v>15</v>
      </c>
      <c r="K6" s="49" t="s">
        <v>19</v>
      </c>
      <c r="L6" s="51" t="s">
        <v>2</v>
      </c>
      <c r="M6" s="50" t="s">
        <v>0</v>
      </c>
      <c r="N6" s="37" t="s">
        <v>23</v>
      </c>
      <c r="O6" s="37" t="s">
        <v>9</v>
      </c>
      <c r="P6" s="37" t="s">
        <v>4</v>
      </c>
      <c r="Q6" s="37" t="s">
        <v>5</v>
      </c>
      <c r="R6" s="37" t="s">
        <v>6</v>
      </c>
      <c r="S6" s="37" t="s">
        <v>7</v>
      </c>
      <c r="T6" s="37" t="s">
        <v>10</v>
      </c>
      <c r="U6" s="37" t="s">
        <v>26</v>
      </c>
      <c r="V6" s="38" t="s">
        <v>9</v>
      </c>
      <c r="W6" s="39" t="s">
        <v>11</v>
      </c>
    </row>
    <row r="7" spans="1:23" x14ac:dyDescent="0.3">
      <c r="A7" s="46">
        <v>1</v>
      </c>
      <c r="B7" s="42">
        <f ca="1">TODAY()</f>
        <v>45796</v>
      </c>
      <c r="C7" s="34" t="s">
        <v>14</v>
      </c>
      <c r="D7" s="34">
        <v>40</v>
      </c>
      <c r="E7" s="35">
        <v>20</v>
      </c>
      <c r="F7" s="35">
        <f>D7*E7*5%</f>
        <v>40</v>
      </c>
      <c r="G7" s="35">
        <f>F7+D7*E7</f>
        <v>840</v>
      </c>
      <c r="H7" s="35">
        <f>E7*25%+E7</f>
        <v>25</v>
      </c>
      <c r="I7" s="35">
        <f>(H7*D7)+F7</f>
        <v>1040</v>
      </c>
      <c r="J7" s="35">
        <f>I7-G7</f>
        <v>200</v>
      </c>
      <c r="K7" s="40">
        <f>I7/D7</f>
        <v>26</v>
      </c>
      <c r="L7" s="46">
        <v>1</v>
      </c>
      <c r="M7" s="42">
        <f ca="1">TODAY()</f>
        <v>45796</v>
      </c>
      <c r="N7" s="33" t="s">
        <v>24</v>
      </c>
      <c r="O7" s="34" t="s">
        <v>14</v>
      </c>
      <c r="P7" s="34">
        <v>20</v>
      </c>
      <c r="Q7" s="35">
        <f>H7</f>
        <v>25</v>
      </c>
      <c r="R7" s="35">
        <f>F7</f>
        <v>40</v>
      </c>
      <c r="S7" s="35">
        <f>R7+P7*Q7</f>
        <v>540</v>
      </c>
      <c r="T7" s="35">
        <f>S7-E7*P7-R7</f>
        <v>100</v>
      </c>
      <c r="U7" s="35" t="s">
        <v>30</v>
      </c>
      <c r="V7" s="34" t="s">
        <v>14</v>
      </c>
      <c r="W7" s="70">
        <f>SUMIF($C$7:$C$38,V7,$D$7:$D$38) - SUMIF($O$7:$O$38,V7,$P$7:$P$38)</f>
        <v>20</v>
      </c>
    </row>
    <row r="8" spans="1:23" x14ac:dyDescent="0.3">
      <c r="A8" s="47">
        <v>2</v>
      </c>
      <c r="B8" s="43">
        <f ca="1">TODAY()</f>
        <v>45796</v>
      </c>
      <c r="C8" s="2" t="s">
        <v>21</v>
      </c>
      <c r="D8" s="2">
        <v>20</v>
      </c>
      <c r="E8" s="10">
        <v>30</v>
      </c>
      <c r="F8" s="10">
        <f>D8*E8*5%</f>
        <v>30</v>
      </c>
      <c r="G8" s="10">
        <f>F8+D8*E8</f>
        <v>630</v>
      </c>
      <c r="H8" s="10">
        <f>E8*25%+E8</f>
        <v>37.5</v>
      </c>
      <c r="I8" s="10">
        <f>(H8*D8)+F8</f>
        <v>780</v>
      </c>
      <c r="J8" s="10">
        <f>I8-G8</f>
        <v>150</v>
      </c>
      <c r="K8" s="41">
        <f>I8/D8</f>
        <v>39</v>
      </c>
      <c r="L8" s="47">
        <v>2</v>
      </c>
      <c r="M8" s="43">
        <f ca="1">TODAY()</f>
        <v>45796</v>
      </c>
      <c r="N8" s="3" t="s">
        <v>25</v>
      </c>
      <c r="O8" s="2" t="s">
        <v>21</v>
      </c>
      <c r="P8" s="2">
        <v>10</v>
      </c>
      <c r="Q8" s="10">
        <f>H8</f>
        <v>37.5</v>
      </c>
      <c r="R8" s="10">
        <f>F8</f>
        <v>30</v>
      </c>
      <c r="S8" s="10">
        <f>R8+P8*Q8</f>
        <v>405</v>
      </c>
      <c r="T8" s="10">
        <f>S8-E8*P8-R8</f>
        <v>75</v>
      </c>
      <c r="U8" s="10" t="s">
        <v>27</v>
      </c>
      <c r="V8" s="2" t="s">
        <v>21</v>
      </c>
      <c r="W8" s="71">
        <f>SUMIF($C$7:$C$38,V8,$D$7:$D$38) - SUMIF($O$7:$O$38,V8,$P$7:$P$38)</f>
        <v>10</v>
      </c>
    </row>
    <row r="9" spans="1:23" x14ac:dyDescent="0.3">
      <c r="A9" s="47">
        <v>3</v>
      </c>
      <c r="B9" s="43">
        <f ca="1">TODAY()</f>
        <v>45796</v>
      </c>
      <c r="C9" s="2" t="s">
        <v>28</v>
      </c>
      <c r="D9" s="2">
        <v>40</v>
      </c>
      <c r="E9" s="10">
        <v>10</v>
      </c>
      <c r="F9" s="10">
        <f>D9*E9*5%</f>
        <v>20</v>
      </c>
      <c r="G9" s="10">
        <f>F9+D9*E9</f>
        <v>420</v>
      </c>
      <c r="H9" s="10">
        <f>E9*25%+E9</f>
        <v>12.5</v>
      </c>
      <c r="I9" s="10">
        <f>(H9*D9)+F9</f>
        <v>520</v>
      </c>
      <c r="J9" s="10">
        <f>I9-G9</f>
        <v>100</v>
      </c>
      <c r="K9" s="41">
        <f>I9/D9</f>
        <v>13</v>
      </c>
      <c r="L9" s="47">
        <v>3</v>
      </c>
      <c r="M9" s="43">
        <f ca="1">TODAY()</f>
        <v>45796</v>
      </c>
      <c r="N9" s="2" t="s">
        <v>29</v>
      </c>
      <c r="O9" s="2" t="s">
        <v>28</v>
      </c>
      <c r="P9" s="2">
        <v>20</v>
      </c>
      <c r="Q9" s="10">
        <f>H9</f>
        <v>12.5</v>
      </c>
      <c r="R9" s="10">
        <f>F9</f>
        <v>20</v>
      </c>
      <c r="S9" s="10">
        <f>R9+P9*Q9</f>
        <v>270</v>
      </c>
      <c r="T9" s="10">
        <f>S9-E9*P9-R9</f>
        <v>50</v>
      </c>
      <c r="U9" s="10" t="s">
        <v>30</v>
      </c>
      <c r="V9" s="2" t="s">
        <v>28</v>
      </c>
      <c r="W9" s="71">
        <f>SUMIF($C$7:$C$38,V9,$D$7:$D$38) - SUMIF($O$7:$O$38,V9,$P$7:$P$38)</f>
        <v>20</v>
      </c>
    </row>
    <row r="10" spans="1:23" x14ac:dyDescent="0.3">
      <c r="A10" s="47">
        <v>4</v>
      </c>
      <c r="B10" s="43">
        <f ca="1">TODAY()</f>
        <v>45796</v>
      </c>
      <c r="C10" s="2" t="s">
        <v>32</v>
      </c>
      <c r="D10" s="2">
        <v>40</v>
      </c>
      <c r="E10" s="10">
        <v>20</v>
      </c>
      <c r="F10" s="10">
        <f>D10*E10*5%</f>
        <v>40</v>
      </c>
      <c r="G10" s="10">
        <f>F10+D10*E10</f>
        <v>840</v>
      </c>
      <c r="H10" s="10">
        <f>E10*25%+E10</f>
        <v>25</v>
      </c>
      <c r="I10" s="10">
        <f>(H10*D10)+F10</f>
        <v>1040</v>
      </c>
      <c r="J10" s="10">
        <f>I10-G10</f>
        <v>200</v>
      </c>
      <c r="K10" s="41">
        <f>I10/D10</f>
        <v>26</v>
      </c>
      <c r="L10" s="47">
        <v>4</v>
      </c>
      <c r="M10" s="43">
        <f ca="1">TODAY()</f>
        <v>45796</v>
      </c>
      <c r="N10" s="2" t="s">
        <v>33</v>
      </c>
      <c r="O10" s="2" t="s">
        <v>32</v>
      </c>
      <c r="P10" s="2">
        <v>12</v>
      </c>
      <c r="Q10" s="10">
        <f>H10</f>
        <v>25</v>
      </c>
      <c r="R10" s="10">
        <f>F10</f>
        <v>40</v>
      </c>
      <c r="S10" s="10">
        <f>R10+P10*Q10</f>
        <v>340</v>
      </c>
      <c r="T10" s="10">
        <f>S10-E10*P10-R10</f>
        <v>60</v>
      </c>
      <c r="U10" s="10" t="s">
        <v>31</v>
      </c>
      <c r="V10" s="2" t="s">
        <v>32</v>
      </c>
      <c r="W10" s="71">
        <f>SUMIF($C$7:$C$38,V10,$D$7:$D$38) - SUMIF($O$7:$O$38,V10,$P$7:$P$38)</f>
        <v>28</v>
      </c>
    </row>
    <row r="11" spans="1:23" x14ac:dyDescent="0.3">
      <c r="A11" s="47">
        <v>5</v>
      </c>
      <c r="B11" s="44"/>
      <c r="C11" s="2"/>
      <c r="D11" s="2"/>
      <c r="E11" s="10"/>
      <c r="F11" s="10"/>
      <c r="G11" s="10"/>
      <c r="H11" s="10"/>
      <c r="I11" s="10"/>
      <c r="J11" s="10"/>
      <c r="K11" s="41"/>
      <c r="L11" s="47">
        <v>5</v>
      </c>
      <c r="M11" s="44"/>
      <c r="N11" s="2"/>
      <c r="O11" s="2"/>
      <c r="P11" s="2"/>
      <c r="Q11" s="10"/>
      <c r="R11" s="10"/>
      <c r="S11" s="10"/>
      <c r="T11" s="10"/>
      <c r="U11" s="10"/>
      <c r="V11" s="1"/>
      <c r="W11" s="72"/>
    </row>
    <row r="12" spans="1:23" x14ac:dyDescent="0.3">
      <c r="A12" s="47">
        <v>6</v>
      </c>
      <c r="B12" s="44"/>
      <c r="C12" s="2"/>
      <c r="D12" s="2"/>
      <c r="E12" s="10"/>
      <c r="F12" s="10"/>
      <c r="G12" s="10"/>
      <c r="H12" s="10"/>
      <c r="I12" s="10"/>
      <c r="J12" s="10"/>
      <c r="K12" s="41"/>
      <c r="L12" s="47">
        <v>6</v>
      </c>
      <c r="M12" s="44"/>
      <c r="N12" s="2"/>
      <c r="O12" s="2"/>
      <c r="P12" s="2"/>
      <c r="Q12" s="10"/>
      <c r="R12" s="10"/>
      <c r="S12" s="10"/>
      <c r="T12" s="10"/>
      <c r="U12" s="10"/>
      <c r="V12" s="1"/>
      <c r="W12" s="72"/>
    </row>
    <row r="13" spans="1:23" x14ac:dyDescent="0.3">
      <c r="A13" s="47">
        <v>7</v>
      </c>
      <c r="B13" s="44"/>
      <c r="C13" s="2"/>
      <c r="D13" s="2"/>
      <c r="E13" s="10"/>
      <c r="F13" s="10"/>
      <c r="G13" s="10"/>
      <c r="H13" s="10"/>
      <c r="I13" s="10"/>
      <c r="J13" s="10"/>
      <c r="K13" s="41"/>
      <c r="L13" s="47">
        <v>7</v>
      </c>
      <c r="M13" s="44"/>
      <c r="N13" s="2"/>
      <c r="O13" s="2"/>
      <c r="P13" s="2"/>
      <c r="Q13" s="10"/>
      <c r="R13" s="10"/>
      <c r="S13" s="10"/>
      <c r="T13" s="10"/>
      <c r="U13" s="10"/>
      <c r="V13" s="1"/>
      <c r="W13" s="72"/>
    </row>
    <row r="14" spans="1:23" x14ac:dyDescent="0.3">
      <c r="A14" s="47">
        <v>8</v>
      </c>
      <c r="B14" s="44"/>
      <c r="C14" s="2"/>
      <c r="D14" s="2"/>
      <c r="E14" s="10"/>
      <c r="F14" s="10"/>
      <c r="G14" s="10"/>
      <c r="H14" s="10"/>
      <c r="I14" s="10"/>
      <c r="J14" s="10"/>
      <c r="K14" s="41"/>
      <c r="L14" s="47">
        <v>8</v>
      </c>
      <c r="M14" s="44"/>
      <c r="N14" s="2"/>
      <c r="O14" s="2"/>
      <c r="P14" s="2"/>
      <c r="Q14" s="10"/>
      <c r="R14" s="10"/>
      <c r="S14" s="10"/>
      <c r="T14" s="10"/>
      <c r="U14" s="10"/>
      <c r="V14" s="1"/>
      <c r="W14" s="72"/>
    </row>
    <row r="15" spans="1:23" x14ac:dyDescent="0.3">
      <c r="A15" s="47">
        <v>9</v>
      </c>
      <c r="B15" s="44"/>
      <c r="C15" s="2"/>
      <c r="D15" s="2"/>
      <c r="E15" s="10"/>
      <c r="F15" s="10"/>
      <c r="G15" s="10"/>
      <c r="H15" s="10"/>
      <c r="I15" s="10"/>
      <c r="J15" s="10"/>
      <c r="K15" s="41"/>
      <c r="L15" s="47">
        <v>9</v>
      </c>
      <c r="M15" s="44"/>
      <c r="N15" s="2"/>
      <c r="O15" s="2"/>
      <c r="P15" s="2"/>
      <c r="Q15" s="10"/>
      <c r="R15" s="10"/>
      <c r="S15" s="10"/>
      <c r="T15" s="10"/>
      <c r="U15" s="10"/>
      <c r="V15" s="1"/>
      <c r="W15" s="72"/>
    </row>
    <row r="16" spans="1:23" x14ac:dyDescent="0.3">
      <c r="A16" s="47">
        <v>10</v>
      </c>
      <c r="B16" s="44"/>
      <c r="C16" s="2"/>
      <c r="D16" s="2"/>
      <c r="E16" s="10"/>
      <c r="F16" s="10"/>
      <c r="G16" s="10"/>
      <c r="H16" s="10"/>
      <c r="I16" s="10"/>
      <c r="J16" s="10"/>
      <c r="K16" s="41"/>
      <c r="L16" s="47">
        <v>10</v>
      </c>
      <c r="M16" s="44"/>
      <c r="N16" s="2"/>
      <c r="O16" s="2"/>
      <c r="P16" s="2"/>
      <c r="Q16" s="10"/>
      <c r="R16" s="10"/>
      <c r="S16" s="10"/>
      <c r="T16" s="10"/>
      <c r="U16" s="10"/>
      <c r="V16" s="1"/>
      <c r="W16" s="72"/>
    </row>
    <row r="17" spans="1:23" x14ac:dyDescent="0.3">
      <c r="A17" s="47">
        <v>11</v>
      </c>
      <c r="B17" s="44"/>
      <c r="C17" s="2"/>
      <c r="D17" s="2"/>
      <c r="E17" s="10"/>
      <c r="F17" s="10"/>
      <c r="G17" s="10"/>
      <c r="H17" s="10"/>
      <c r="I17" s="10"/>
      <c r="J17" s="10"/>
      <c r="K17" s="41"/>
      <c r="L17" s="47">
        <v>11</v>
      </c>
      <c r="M17" s="44"/>
      <c r="N17" s="2"/>
      <c r="O17" s="2"/>
      <c r="P17" s="2"/>
      <c r="Q17" s="10"/>
      <c r="R17" s="10"/>
      <c r="S17" s="10"/>
      <c r="T17" s="10"/>
      <c r="U17" s="10"/>
      <c r="V17" s="1"/>
      <c r="W17" s="72"/>
    </row>
    <row r="18" spans="1:23" x14ac:dyDescent="0.3">
      <c r="A18" s="47">
        <v>12</v>
      </c>
      <c r="B18" s="44"/>
      <c r="C18" s="2"/>
      <c r="D18" s="2"/>
      <c r="E18" s="10"/>
      <c r="F18" s="10"/>
      <c r="G18" s="10"/>
      <c r="H18" s="10"/>
      <c r="I18" s="10"/>
      <c r="J18" s="10"/>
      <c r="K18" s="41"/>
      <c r="L18" s="47">
        <v>12</v>
      </c>
      <c r="M18" s="44"/>
      <c r="N18" s="2"/>
      <c r="O18" s="2"/>
      <c r="P18" s="2"/>
      <c r="Q18" s="10"/>
      <c r="R18" s="10"/>
      <c r="S18" s="10"/>
      <c r="T18" s="10"/>
      <c r="U18" s="10"/>
      <c r="V18" s="1"/>
      <c r="W18" s="72"/>
    </row>
    <row r="19" spans="1:23" x14ac:dyDescent="0.3">
      <c r="A19" s="47">
        <v>13</v>
      </c>
      <c r="B19" s="44"/>
      <c r="C19" s="2"/>
      <c r="D19" s="2"/>
      <c r="E19" s="10"/>
      <c r="F19" s="10"/>
      <c r="G19" s="10"/>
      <c r="H19" s="10"/>
      <c r="I19" s="10"/>
      <c r="J19" s="10"/>
      <c r="K19" s="41"/>
      <c r="L19" s="47">
        <v>13</v>
      </c>
      <c r="M19" s="44"/>
      <c r="N19" s="2"/>
      <c r="O19" s="2"/>
      <c r="P19" s="2"/>
      <c r="Q19" s="10"/>
      <c r="R19" s="10"/>
      <c r="S19" s="10"/>
      <c r="T19" s="10"/>
      <c r="U19" s="10"/>
      <c r="V19" s="1"/>
      <c r="W19" s="72"/>
    </row>
    <row r="20" spans="1:23" x14ac:dyDescent="0.3">
      <c r="A20" s="47">
        <v>14</v>
      </c>
      <c r="B20" s="44"/>
      <c r="C20" s="2"/>
      <c r="D20" s="2"/>
      <c r="E20" s="10"/>
      <c r="F20" s="10"/>
      <c r="G20" s="10"/>
      <c r="H20" s="10"/>
      <c r="I20" s="10"/>
      <c r="J20" s="10"/>
      <c r="K20" s="41"/>
      <c r="L20" s="47">
        <v>14</v>
      </c>
      <c r="M20" s="44"/>
      <c r="N20" s="2"/>
      <c r="O20" s="2"/>
      <c r="P20" s="2"/>
      <c r="Q20" s="10"/>
      <c r="R20" s="10"/>
      <c r="S20" s="10"/>
      <c r="T20" s="10"/>
      <c r="U20" s="10"/>
      <c r="V20" s="1"/>
      <c r="W20" s="72"/>
    </row>
    <row r="21" spans="1:23" x14ac:dyDescent="0.3">
      <c r="A21" s="47">
        <v>15</v>
      </c>
      <c r="B21" s="44"/>
      <c r="C21" s="2"/>
      <c r="D21" s="2"/>
      <c r="E21" s="10"/>
      <c r="F21" s="10"/>
      <c r="G21" s="10"/>
      <c r="H21" s="10"/>
      <c r="I21" s="10"/>
      <c r="J21" s="10"/>
      <c r="K21" s="41"/>
      <c r="L21" s="47">
        <v>15</v>
      </c>
      <c r="M21" s="44"/>
      <c r="N21" s="2"/>
      <c r="O21" s="2"/>
      <c r="P21" s="2"/>
      <c r="Q21" s="10"/>
      <c r="R21" s="10"/>
      <c r="S21" s="10"/>
      <c r="T21" s="10"/>
      <c r="U21" s="10"/>
      <c r="V21" s="1"/>
      <c r="W21" s="72"/>
    </row>
    <row r="22" spans="1:23" x14ac:dyDescent="0.3">
      <c r="A22" s="47">
        <v>16</v>
      </c>
      <c r="B22" s="44"/>
      <c r="C22" s="2"/>
      <c r="D22" s="2"/>
      <c r="E22" s="10"/>
      <c r="F22" s="10"/>
      <c r="G22" s="10"/>
      <c r="H22" s="10"/>
      <c r="I22" s="10"/>
      <c r="J22" s="10"/>
      <c r="K22" s="41"/>
      <c r="L22" s="47">
        <v>16</v>
      </c>
      <c r="M22" s="44"/>
      <c r="N22" s="2"/>
      <c r="O22" s="2"/>
      <c r="P22" s="2"/>
      <c r="Q22" s="10"/>
      <c r="R22" s="10"/>
      <c r="S22" s="10"/>
      <c r="T22" s="10"/>
      <c r="U22" s="10"/>
      <c r="V22" s="1"/>
      <c r="W22" s="72"/>
    </row>
    <row r="23" spans="1:23" x14ac:dyDescent="0.3">
      <c r="A23" s="47">
        <v>17</v>
      </c>
      <c r="B23" s="44"/>
      <c r="C23" s="2"/>
      <c r="D23" s="2"/>
      <c r="E23" s="10"/>
      <c r="F23" s="10"/>
      <c r="G23" s="10"/>
      <c r="H23" s="10"/>
      <c r="I23" s="10"/>
      <c r="J23" s="10"/>
      <c r="K23" s="41"/>
      <c r="L23" s="47">
        <v>17</v>
      </c>
      <c r="M23" s="44"/>
      <c r="N23" s="2"/>
      <c r="O23" s="2"/>
      <c r="P23" s="2"/>
      <c r="Q23" s="10"/>
      <c r="R23" s="10"/>
      <c r="S23" s="10"/>
      <c r="T23" s="10"/>
      <c r="U23" s="10"/>
      <c r="V23" s="1"/>
      <c r="W23" s="72"/>
    </row>
    <row r="24" spans="1:23" x14ac:dyDescent="0.3">
      <c r="A24" s="47">
        <v>18</v>
      </c>
      <c r="B24" s="44"/>
      <c r="C24" s="2"/>
      <c r="D24" s="2"/>
      <c r="E24" s="10"/>
      <c r="F24" s="10"/>
      <c r="G24" s="10"/>
      <c r="H24" s="10"/>
      <c r="I24" s="10"/>
      <c r="J24" s="10"/>
      <c r="K24" s="41"/>
      <c r="L24" s="47">
        <v>18</v>
      </c>
      <c r="M24" s="44"/>
      <c r="N24" s="2"/>
      <c r="O24" s="2"/>
      <c r="P24" s="2"/>
      <c r="Q24" s="10"/>
      <c r="R24" s="10"/>
      <c r="S24" s="10"/>
      <c r="T24" s="10"/>
      <c r="U24" s="10"/>
      <c r="V24" s="1"/>
      <c r="W24" s="72"/>
    </row>
    <row r="25" spans="1:23" x14ac:dyDescent="0.3">
      <c r="A25" s="47">
        <v>19</v>
      </c>
      <c r="B25" s="44"/>
      <c r="C25" s="2"/>
      <c r="D25" s="2"/>
      <c r="E25" s="10"/>
      <c r="F25" s="10"/>
      <c r="G25" s="10"/>
      <c r="H25" s="10"/>
      <c r="I25" s="10"/>
      <c r="J25" s="10"/>
      <c r="K25" s="41"/>
      <c r="L25" s="47">
        <v>19</v>
      </c>
      <c r="M25" s="44"/>
      <c r="N25" s="2"/>
      <c r="O25" s="2"/>
      <c r="P25" s="2"/>
      <c r="Q25" s="10"/>
      <c r="R25" s="10"/>
      <c r="S25" s="10"/>
      <c r="T25" s="10"/>
      <c r="U25" s="10"/>
      <c r="V25" s="1"/>
      <c r="W25" s="72"/>
    </row>
    <row r="26" spans="1:23" x14ac:dyDescent="0.3">
      <c r="A26" s="47">
        <v>20</v>
      </c>
      <c r="B26" s="44"/>
      <c r="C26" s="2"/>
      <c r="D26" s="2"/>
      <c r="E26" s="10"/>
      <c r="F26" s="10"/>
      <c r="G26" s="10"/>
      <c r="H26" s="10"/>
      <c r="I26" s="10"/>
      <c r="J26" s="10"/>
      <c r="K26" s="41"/>
      <c r="L26" s="47">
        <v>20</v>
      </c>
      <c r="M26" s="44"/>
      <c r="N26" s="2"/>
      <c r="O26" s="2"/>
      <c r="P26" s="2"/>
      <c r="Q26" s="10"/>
      <c r="R26" s="10"/>
      <c r="S26" s="10"/>
      <c r="T26" s="10"/>
      <c r="U26" s="10"/>
      <c r="V26" s="1"/>
      <c r="W26" s="72"/>
    </row>
    <row r="27" spans="1:23" x14ac:dyDescent="0.3">
      <c r="A27" s="47">
        <v>21</v>
      </c>
      <c r="B27" s="44"/>
      <c r="C27" s="2"/>
      <c r="D27" s="2"/>
      <c r="E27" s="10"/>
      <c r="F27" s="10"/>
      <c r="G27" s="10"/>
      <c r="H27" s="10"/>
      <c r="I27" s="10"/>
      <c r="J27" s="10"/>
      <c r="K27" s="41"/>
      <c r="L27" s="47">
        <v>21</v>
      </c>
      <c r="M27" s="44"/>
      <c r="N27" s="2"/>
      <c r="O27" s="2"/>
      <c r="P27" s="2"/>
      <c r="Q27" s="10"/>
      <c r="R27" s="10"/>
      <c r="S27" s="10"/>
      <c r="T27" s="10"/>
      <c r="U27" s="10"/>
      <c r="V27" s="1"/>
      <c r="W27" s="72"/>
    </row>
    <row r="28" spans="1:23" x14ac:dyDescent="0.3">
      <c r="A28" s="47">
        <v>22</v>
      </c>
      <c r="B28" s="44"/>
      <c r="C28" s="2"/>
      <c r="D28" s="2"/>
      <c r="E28" s="10"/>
      <c r="F28" s="10"/>
      <c r="G28" s="10"/>
      <c r="H28" s="10"/>
      <c r="I28" s="10"/>
      <c r="J28" s="10"/>
      <c r="K28" s="41"/>
      <c r="L28" s="47">
        <v>22</v>
      </c>
      <c r="M28" s="44"/>
      <c r="N28" s="2"/>
      <c r="O28" s="2"/>
      <c r="P28" s="2"/>
      <c r="Q28" s="10"/>
      <c r="R28" s="10"/>
      <c r="S28" s="10"/>
      <c r="T28" s="10"/>
      <c r="U28" s="10"/>
      <c r="V28" s="1"/>
      <c r="W28" s="72"/>
    </row>
    <row r="29" spans="1:23" x14ac:dyDescent="0.3">
      <c r="A29" s="47">
        <v>23</v>
      </c>
      <c r="B29" s="44"/>
      <c r="C29" s="2"/>
      <c r="D29" s="2"/>
      <c r="E29" s="10"/>
      <c r="F29" s="10"/>
      <c r="G29" s="10"/>
      <c r="H29" s="10"/>
      <c r="I29" s="10"/>
      <c r="J29" s="10"/>
      <c r="K29" s="41"/>
      <c r="L29" s="47">
        <v>23</v>
      </c>
      <c r="M29" s="44"/>
      <c r="N29" s="2"/>
      <c r="O29" s="2"/>
      <c r="P29" s="2"/>
      <c r="Q29" s="10"/>
      <c r="R29" s="10"/>
      <c r="S29" s="10"/>
      <c r="T29" s="10"/>
      <c r="U29" s="10"/>
      <c r="V29" s="1"/>
      <c r="W29" s="72"/>
    </row>
    <row r="30" spans="1:23" x14ac:dyDescent="0.3">
      <c r="A30" s="47">
        <v>24</v>
      </c>
      <c r="B30" s="44"/>
      <c r="C30" s="2"/>
      <c r="D30" s="2"/>
      <c r="E30" s="10"/>
      <c r="F30" s="10"/>
      <c r="G30" s="10"/>
      <c r="H30" s="10"/>
      <c r="I30" s="10"/>
      <c r="J30" s="10"/>
      <c r="K30" s="41"/>
      <c r="L30" s="47">
        <v>24</v>
      </c>
      <c r="M30" s="44"/>
      <c r="N30" s="2"/>
      <c r="O30" s="2"/>
      <c r="P30" s="2"/>
      <c r="Q30" s="10"/>
      <c r="R30" s="10"/>
      <c r="S30" s="10"/>
      <c r="T30" s="10"/>
      <c r="U30" s="10"/>
      <c r="V30" s="1"/>
      <c r="W30" s="72"/>
    </row>
    <row r="31" spans="1:23" x14ac:dyDescent="0.3">
      <c r="A31" s="47">
        <v>25</v>
      </c>
      <c r="B31" s="44"/>
      <c r="C31" s="2"/>
      <c r="D31" s="2"/>
      <c r="E31" s="10"/>
      <c r="F31" s="10"/>
      <c r="G31" s="10"/>
      <c r="H31" s="10"/>
      <c r="I31" s="10"/>
      <c r="J31" s="10"/>
      <c r="K31" s="41"/>
      <c r="L31" s="47">
        <v>25</v>
      </c>
      <c r="M31" s="44"/>
      <c r="N31" s="2"/>
      <c r="O31" s="2"/>
      <c r="P31" s="2"/>
      <c r="Q31" s="10"/>
      <c r="R31" s="10"/>
      <c r="S31" s="10"/>
      <c r="T31" s="10"/>
      <c r="U31" s="10"/>
      <c r="V31" s="1"/>
      <c r="W31" s="72"/>
    </row>
    <row r="32" spans="1:23" x14ac:dyDescent="0.3">
      <c r="A32" s="47">
        <v>26</v>
      </c>
      <c r="B32" s="44"/>
      <c r="C32" s="2"/>
      <c r="D32" s="2"/>
      <c r="E32" s="10"/>
      <c r="F32" s="10"/>
      <c r="G32" s="10"/>
      <c r="H32" s="10"/>
      <c r="I32" s="10"/>
      <c r="J32" s="10"/>
      <c r="K32" s="41"/>
      <c r="L32" s="47">
        <v>26</v>
      </c>
      <c r="M32" s="44"/>
      <c r="N32" s="2"/>
      <c r="O32" s="2"/>
      <c r="P32" s="2"/>
      <c r="Q32" s="10"/>
      <c r="R32" s="10"/>
      <c r="S32" s="10"/>
      <c r="T32" s="10"/>
      <c r="U32" s="10"/>
      <c r="V32" s="1"/>
      <c r="W32" s="72"/>
    </row>
    <row r="33" spans="1:23" x14ac:dyDescent="0.3">
      <c r="A33" s="47">
        <v>27</v>
      </c>
      <c r="B33" s="44"/>
      <c r="C33" s="2"/>
      <c r="D33" s="2"/>
      <c r="E33" s="10"/>
      <c r="F33" s="10"/>
      <c r="G33" s="10"/>
      <c r="H33" s="10"/>
      <c r="I33" s="10"/>
      <c r="J33" s="10"/>
      <c r="K33" s="41"/>
      <c r="L33" s="47">
        <v>27</v>
      </c>
      <c r="M33" s="44"/>
      <c r="N33" s="2"/>
      <c r="O33" s="2"/>
      <c r="P33" s="2"/>
      <c r="Q33" s="10"/>
      <c r="R33" s="10"/>
      <c r="S33" s="10"/>
      <c r="T33" s="10"/>
      <c r="U33" s="10"/>
      <c r="V33" s="1"/>
      <c r="W33" s="72"/>
    </row>
    <row r="34" spans="1:23" x14ac:dyDescent="0.3">
      <c r="A34" s="47">
        <v>28</v>
      </c>
      <c r="B34" s="44"/>
      <c r="C34" s="2"/>
      <c r="D34" s="2"/>
      <c r="E34" s="10"/>
      <c r="F34" s="10"/>
      <c r="G34" s="10"/>
      <c r="H34" s="10"/>
      <c r="I34" s="10"/>
      <c r="J34" s="10"/>
      <c r="K34" s="41"/>
      <c r="L34" s="47">
        <v>28</v>
      </c>
      <c r="M34" s="44"/>
      <c r="N34" s="2"/>
      <c r="O34" s="2"/>
      <c r="P34" s="2"/>
      <c r="Q34" s="10"/>
      <c r="R34" s="10"/>
      <c r="S34" s="10"/>
      <c r="T34" s="10"/>
      <c r="U34" s="10"/>
      <c r="V34" s="1"/>
      <c r="W34" s="72"/>
    </row>
    <row r="35" spans="1:23" x14ac:dyDescent="0.3">
      <c r="A35" s="47">
        <v>29</v>
      </c>
      <c r="B35" s="44"/>
      <c r="C35" s="2"/>
      <c r="D35" s="2"/>
      <c r="E35" s="10"/>
      <c r="F35" s="10"/>
      <c r="G35" s="10"/>
      <c r="H35" s="10"/>
      <c r="I35" s="10"/>
      <c r="J35" s="10"/>
      <c r="K35" s="41"/>
      <c r="L35" s="47">
        <v>29</v>
      </c>
      <c r="M35" s="44"/>
      <c r="N35" s="2"/>
      <c r="O35" s="2"/>
      <c r="P35" s="2"/>
      <c r="Q35" s="10"/>
      <c r="R35" s="10"/>
      <c r="S35" s="10"/>
      <c r="T35" s="10"/>
      <c r="U35" s="10"/>
      <c r="V35" s="1"/>
      <c r="W35" s="72"/>
    </row>
    <row r="36" spans="1:23" x14ac:dyDescent="0.3">
      <c r="A36" s="47">
        <v>30</v>
      </c>
      <c r="B36" s="44"/>
      <c r="C36" s="2"/>
      <c r="D36" s="2"/>
      <c r="E36" s="10"/>
      <c r="F36" s="10"/>
      <c r="G36" s="10"/>
      <c r="H36" s="10"/>
      <c r="I36" s="10"/>
      <c r="J36" s="10"/>
      <c r="K36" s="41"/>
      <c r="L36" s="47">
        <v>30</v>
      </c>
      <c r="M36" s="44"/>
      <c r="N36" s="2"/>
      <c r="O36" s="2"/>
      <c r="P36" s="2"/>
      <c r="Q36" s="10"/>
      <c r="R36" s="10"/>
      <c r="S36" s="10"/>
      <c r="T36" s="10"/>
      <c r="U36" s="10"/>
      <c r="V36" s="1"/>
      <c r="W36" s="72"/>
    </row>
    <row r="37" spans="1:23" x14ac:dyDescent="0.3">
      <c r="A37" s="47">
        <v>31</v>
      </c>
      <c r="B37" s="44"/>
      <c r="C37" s="2"/>
      <c r="D37" s="2"/>
      <c r="E37" s="10"/>
      <c r="F37" s="10"/>
      <c r="G37" s="10"/>
      <c r="H37" s="10"/>
      <c r="I37" s="10"/>
      <c r="J37" s="10"/>
      <c r="K37" s="41"/>
      <c r="L37" s="47">
        <v>31</v>
      </c>
      <c r="M37" s="44"/>
      <c r="N37" s="2"/>
      <c r="O37" s="2"/>
      <c r="P37" s="2"/>
      <c r="Q37" s="10"/>
      <c r="R37" s="10"/>
      <c r="S37" s="10"/>
      <c r="T37" s="10"/>
      <c r="U37" s="10"/>
      <c r="V37" s="1"/>
      <c r="W37" s="72"/>
    </row>
    <row r="38" spans="1:23" ht="15" thickBot="1" x14ac:dyDescent="0.35">
      <c r="A38" s="48">
        <v>32</v>
      </c>
      <c r="B38" s="44"/>
      <c r="C38" s="2"/>
      <c r="D38" s="2"/>
      <c r="E38" s="10"/>
      <c r="F38" s="10"/>
      <c r="G38" s="10"/>
      <c r="H38" s="10"/>
      <c r="I38" s="10"/>
      <c r="J38" s="10"/>
      <c r="K38" s="41"/>
      <c r="L38" s="48">
        <v>32</v>
      </c>
      <c r="M38" s="44"/>
      <c r="N38" s="2"/>
      <c r="O38" s="2"/>
      <c r="P38" s="2"/>
      <c r="Q38" s="10"/>
      <c r="R38" s="10"/>
      <c r="S38" s="10"/>
      <c r="T38" s="10"/>
      <c r="U38" s="10"/>
      <c r="V38" s="1"/>
      <c r="W38" s="72"/>
    </row>
    <row r="39" spans="1:23" x14ac:dyDescent="0.3">
      <c r="A39" s="73"/>
      <c r="B39" s="1"/>
      <c r="C39" s="1"/>
      <c r="D39" s="1"/>
      <c r="E39" s="1"/>
      <c r="F39" s="1"/>
      <c r="G39" s="1"/>
      <c r="H39" s="1"/>
      <c r="I39" s="1"/>
      <c r="J39" s="1"/>
      <c r="K39" s="1"/>
      <c r="L39" s="45"/>
      <c r="M39" s="1"/>
      <c r="N39" s="1"/>
      <c r="O39" s="1"/>
      <c r="P39" s="1"/>
      <c r="Q39" s="11"/>
      <c r="R39" s="11"/>
      <c r="S39" s="11"/>
      <c r="T39" s="11"/>
      <c r="U39" s="11"/>
      <c r="V39" s="1"/>
      <c r="W39" s="72"/>
    </row>
    <row r="40" spans="1:23" x14ac:dyDescent="0.3">
      <c r="A40" s="74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72"/>
    </row>
    <row r="41" spans="1:23" x14ac:dyDescent="0.3">
      <c r="A41" s="74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72"/>
    </row>
    <row r="42" spans="1:23" x14ac:dyDescent="0.3">
      <c r="A42" s="74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72"/>
    </row>
    <row r="43" spans="1:23" x14ac:dyDescent="0.3">
      <c r="A43" s="74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72"/>
    </row>
    <row r="44" spans="1:23" x14ac:dyDescent="0.3">
      <c r="A44" s="74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72"/>
    </row>
    <row r="45" spans="1:23" x14ac:dyDescent="0.3">
      <c r="A45" s="74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72"/>
    </row>
    <row r="46" spans="1:23" x14ac:dyDescent="0.3">
      <c r="A46" s="74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72"/>
    </row>
    <row r="47" spans="1:23" x14ac:dyDescent="0.3">
      <c r="A47" s="74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72"/>
    </row>
    <row r="48" spans="1:23" x14ac:dyDescent="0.3">
      <c r="A48" s="74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72"/>
    </row>
    <row r="49" spans="1:23" x14ac:dyDescent="0.3">
      <c r="A49" s="74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72"/>
    </row>
    <row r="50" spans="1:23" x14ac:dyDescent="0.3">
      <c r="A50" s="74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72"/>
    </row>
    <row r="51" spans="1:23" x14ac:dyDescent="0.3">
      <c r="A51" s="74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72"/>
    </row>
    <row r="52" spans="1:23" x14ac:dyDescent="0.3">
      <c r="A52" s="74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72"/>
    </row>
    <row r="53" spans="1:23" x14ac:dyDescent="0.3">
      <c r="A53" s="74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72"/>
    </row>
    <row r="54" spans="1:23" x14ac:dyDescent="0.3">
      <c r="A54" s="74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72"/>
    </row>
    <row r="55" spans="1:23" x14ac:dyDescent="0.3">
      <c r="A55" s="74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72"/>
    </row>
    <row r="56" spans="1:23" x14ac:dyDescent="0.3">
      <c r="A56" s="74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72"/>
    </row>
    <row r="57" spans="1:23" x14ac:dyDescent="0.3">
      <c r="A57" s="74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72"/>
    </row>
    <row r="58" spans="1:23" x14ac:dyDescent="0.3">
      <c r="A58" s="74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72"/>
    </row>
    <row r="59" spans="1:23" x14ac:dyDescent="0.3">
      <c r="A59" s="74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72"/>
    </row>
    <row r="60" spans="1:23" x14ac:dyDescent="0.3">
      <c r="A60" s="74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72"/>
    </row>
    <row r="61" spans="1:23" x14ac:dyDescent="0.3">
      <c r="A61" s="74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72"/>
    </row>
    <row r="62" spans="1:23" x14ac:dyDescent="0.3">
      <c r="A62" s="74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72"/>
    </row>
    <row r="63" spans="1:23" x14ac:dyDescent="0.3">
      <c r="A63" s="74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72"/>
    </row>
    <row r="64" spans="1:23" x14ac:dyDescent="0.3">
      <c r="A64" s="74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72"/>
    </row>
    <row r="65" spans="1:23" x14ac:dyDescent="0.3">
      <c r="A65" s="74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72"/>
    </row>
    <row r="66" spans="1:23" x14ac:dyDescent="0.3">
      <c r="A66" s="74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72"/>
    </row>
    <row r="67" spans="1:23" x14ac:dyDescent="0.3">
      <c r="A67" s="74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72"/>
    </row>
    <row r="68" spans="1:23" x14ac:dyDescent="0.3">
      <c r="A68" s="74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72"/>
    </row>
    <row r="69" spans="1:23" x14ac:dyDescent="0.3">
      <c r="A69" s="74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72"/>
    </row>
    <row r="70" spans="1:23" x14ac:dyDescent="0.3">
      <c r="A70" s="74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72"/>
    </row>
    <row r="71" spans="1:23" x14ac:dyDescent="0.3">
      <c r="A71" s="74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72"/>
    </row>
    <row r="72" spans="1:23" x14ac:dyDescent="0.3">
      <c r="A72" s="74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72"/>
    </row>
    <row r="73" spans="1:23" x14ac:dyDescent="0.3">
      <c r="A73" s="74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72"/>
    </row>
    <row r="74" spans="1:23" x14ac:dyDescent="0.3">
      <c r="A74" s="74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72"/>
    </row>
    <row r="75" spans="1:23" x14ac:dyDescent="0.3">
      <c r="A75" s="74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72"/>
    </row>
    <row r="76" spans="1:23" x14ac:dyDescent="0.3">
      <c r="A76" s="74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72"/>
    </row>
    <row r="77" spans="1:23" x14ac:dyDescent="0.3">
      <c r="A77" s="74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72"/>
    </row>
    <row r="78" spans="1:23" x14ac:dyDescent="0.3">
      <c r="A78" s="74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72"/>
    </row>
    <row r="79" spans="1:23" x14ac:dyDescent="0.3">
      <c r="A79" s="74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72"/>
    </row>
    <row r="80" spans="1:23" x14ac:dyDescent="0.3">
      <c r="A80" s="74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72"/>
    </row>
    <row r="81" spans="1:23" x14ac:dyDescent="0.3">
      <c r="A81" s="74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72"/>
    </row>
    <row r="82" spans="1:23" x14ac:dyDescent="0.3">
      <c r="A82" s="74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72"/>
    </row>
    <row r="83" spans="1:23" x14ac:dyDescent="0.3">
      <c r="A83" s="74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72"/>
    </row>
    <row r="84" spans="1:23" x14ac:dyDescent="0.3">
      <c r="A84" s="74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72"/>
    </row>
    <row r="85" spans="1:23" x14ac:dyDescent="0.3">
      <c r="A85" s="74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72"/>
    </row>
    <row r="86" spans="1:23" x14ac:dyDescent="0.3">
      <c r="A86" s="74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72"/>
    </row>
    <row r="87" spans="1:23" x14ac:dyDescent="0.3">
      <c r="A87" s="74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72"/>
    </row>
    <row r="88" spans="1:23" x14ac:dyDescent="0.3">
      <c r="A88" s="74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72"/>
    </row>
    <row r="89" spans="1:23" x14ac:dyDescent="0.3">
      <c r="A89" s="74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72"/>
    </row>
    <row r="90" spans="1:23" x14ac:dyDescent="0.3">
      <c r="A90" s="74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72"/>
    </row>
    <row r="91" spans="1:23" x14ac:dyDescent="0.3">
      <c r="A91" s="74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72"/>
    </row>
    <row r="92" spans="1:23" x14ac:dyDescent="0.3">
      <c r="A92" s="74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72"/>
    </row>
    <row r="93" spans="1:23" x14ac:dyDescent="0.3">
      <c r="A93" s="74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72"/>
    </row>
    <row r="94" spans="1:23" x14ac:dyDescent="0.3">
      <c r="A94" s="74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72"/>
    </row>
    <row r="95" spans="1:23" x14ac:dyDescent="0.3">
      <c r="A95" s="74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72"/>
    </row>
    <row r="96" spans="1:23" x14ac:dyDescent="0.3">
      <c r="A96" s="74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72"/>
    </row>
    <row r="97" spans="1:23" x14ac:dyDescent="0.3">
      <c r="A97" s="74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72"/>
    </row>
    <row r="98" spans="1:23" x14ac:dyDescent="0.3">
      <c r="A98" s="74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72"/>
    </row>
    <row r="99" spans="1:23" x14ac:dyDescent="0.3">
      <c r="A99" s="74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72"/>
    </row>
    <row r="100" spans="1:23" x14ac:dyDescent="0.3">
      <c r="A100" s="74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72"/>
    </row>
    <row r="101" spans="1:23" x14ac:dyDescent="0.3">
      <c r="A101" s="74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72"/>
    </row>
    <row r="102" spans="1:23" x14ac:dyDescent="0.3">
      <c r="A102" s="74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72"/>
    </row>
    <row r="103" spans="1:23" x14ac:dyDescent="0.3">
      <c r="A103" s="74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72"/>
    </row>
    <row r="104" spans="1:23" x14ac:dyDescent="0.3">
      <c r="A104" s="74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72"/>
    </row>
    <row r="105" spans="1:23" x14ac:dyDescent="0.3">
      <c r="A105" s="74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72"/>
    </row>
    <row r="106" spans="1:23" x14ac:dyDescent="0.3">
      <c r="A106" s="74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72"/>
    </row>
    <row r="107" spans="1:23" x14ac:dyDescent="0.3">
      <c r="A107" s="74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72"/>
    </row>
    <row r="108" spans="1:23" x14ac:dyDescent="0.3">
      <c r="A108" s="74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72"/>
    </row>
    <row r="109" spans="1:23" x14ac:dyDescent="0.3">
      <c r="A109" s="74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72"/>
    </row>
    <row r="110" spans="1:23" x14ac:dyDescent="0.3">
      <c r="A110" s="74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72"/>
    </row>
    <row r="111" spans="1:23" x14ac:dyDescent="0.3">
      <c r="A111" s="74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72"/>
    </row>
    <row r="112" spans="1:23" x14ac:dyDescent="0.3">
      <c r="A112" s="74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72"/>
    </row>
    <row r="113" spans="1:23" x14ac:dyDescent="0.3">
      <c r="A113" s="74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72"/>
    </row>
    <row r="114" spans="1:23" x14ac:dyDescent="0.3">
      <c r="A114" s="74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72"/>
    </row>
    <row r="115" spans="1:23" x14ac:dyDescent="0.3">
      <c r="A115" s="74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72"/>
    </row>
    <row r="116" spans="1:23" x14ac:dyDescent="0.3">
      <c r="A116" s="74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72"/>
    </row>
    <row r="117" spans="1:23" x14ac:dyDescent="0.3">
      <c r="A117" s="74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72"/>
    </row>
    <row r="118" spans="1:23" x14ac:dyDescent="0.3">
      <c r="A118" s="74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72"/>
    </row>
    <row r="119" spans="1:23" x14ac:dyDescent="0.3">
      <c r="A119" s="74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72"/>
    </row>
    <row r="120" spans="1:23" x14ac:dyDescent="0.3">
      <c r="A120" s="74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72"/>
    </row>
    <row r="121" spans="1:23" x14ac:dyDescent="0.3">
      <c r="A121" s="74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72"/>
    </row>
    <row r="122" spans="1:23" x14ac:dyDescent="0.3">
      <c r="A122" s="74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72"/>
    </row>
    <row r="123" spans="1:23" x14ac:dyDescent="0.3">
      <c r="A123" s="74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72"/>
    </row>
    <row r="124" spans="1:23" x14ac:dyDescent="0.3">
      <c r="A124" s="74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72"/>
    </row>
    <row r="125" spans="1:23" x14ac:dyDescent="0.3">
      <c r="A125" s="74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72"/>
    </row>
    <row r="126" spans="1:23" x14ac:dyDescent="0.3">
      <c r="A126" s="74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72"/>
    </row>
    <row r="127" spans="1:23" x14ac:dyDescent="0.3">
      <c r="A127" s="74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72"/>
    </row>
    <row r="128" spans="1:23" x14ac:dyDescent="0.3">
      <c r="A128" s="74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72"/>
    </row>
    <row r="129" spans="1:23" x14ac:dyDescent="0.3">
      <c r="A129" s="74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72"/>
    </row>
    <row r="130" spans="1:23" x14ac:dyDescent="0.3">
      <c r="A130" s="74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72"/>
    </row>
    <row r="131" spans="1:23" x14ac:dyDescent="0.3">
      <c r="A131" s="74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72"/>
    </row>
    <row r="132" spans="1:23" x14ac:dyDescent="0.3">
      <c r="A132" s="74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72"/>
    </row>
    <row r="133" spans="1:23" x14ac:dyDescent="0.3">
      <c r="A133" s="74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72"/>
    </row>
    <row r="134" spans="1:23" x14ac:dyDescent="0.3">
      <c r="A134" s="74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72"/>
    </row>
    <row r="135" spans="1:23" x14ac:dyDescent="0.3">
      <c r="A135" s="74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72"/>
    </row>
    <row r="136" spans="1:23" x14ac:dyDescent="0.3">
      <c r="A136" s="74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72"/>
    </row>
    <row r="137" spans="1:23" x14ac:dyDescent="0.3">
      <c r="A137" s="74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72"/>
    </row>
    <row r="138" spans="1:23" x14ac:dyDescent="0.3">
      <c r="A138" s="74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72"/>
    </row>
    <row r="139" spans="1:23" x14ac:dyDescent="0.3">
      <c r="A139" s="74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72"/>
    </row>
    <row r="140" spans="1:23" x14ac:dyDescent="0.3">
      <c r="A140" s="74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72"/>
    </row>
    <row r="141" spans="1:23" x14ac:dyDescent="0.3">
      <c r="A141" s="74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72"/>
    </row>
    <row r="142" spans="1:23" x14ac:dyDescent="0.3">
      <c r="A142" s="74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72"/>
    </row>
    <row r="143" spans="1:23" x14ac:dyDescent="0.3">
      <c r="A143" s="74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72"/>
    </row>
    <row r="144" spans="1:23" x14ac:dyDescent="0.3">
      <c r="A144" s="74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72"/>
    </row>
    <row r="145" spans="1:23" x14ac:dyDescent="0.3">
      <c r="A145" s="74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72"/>
    </row>
    <row r="146" spans="1:23" x14ac:dyDescent="0.3">
      <c r="A146" s="74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72"/>
    </row>
    <row r="147" spans="1:23" x14ac:dyDescent="0.3">
      <c r="A147" s="74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72"/>
    </row>
    <row r="148" spans="1:23" x14ac:dyDescent="0.3">
      <c r="A148" s="74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72"/>
    </row>
    <row r="149" spans="1:23" x14ac:dyDescent="0.3">
      <c r="A149" s="74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72"/>
    </row>
    <row r="150" spans="1:23" x14ac:dyDescent="0.3">
      <c r="A150" s="74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72"/>
    </row>
    <row r="151" spans="1:23" x14ac:dyDescent="0.3">
      <c r="A151" s="74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72"/>
    </row>
    <row r="152" spans="1:23" x14ac:dyDescent="0.3">
      <c r="A152" s="74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72"/>
    </row>
    <row r="153" spans="1:23" x14ac:dyDescent="0.3">
      <c r="A153" s="74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72"/>
    </row>
    <row r="154" spans="1:23" x14ac:dyDescent="0.3">
      <c r="A154" s="74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72"/>
    </row>
    <row r="155" spans="1:23" x14ac:dyDescent="0.3">
      <c r="A155" s="74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72"/>
    </row>
    <row r="156" spans="1:23" x14ac:dyDescent="0.3">
      <c r="A156" s="74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72"/>
    </row>
    <row r="157" spans="1:23" x14ac:dyDescent="0.3">
      <c r="A157" s="74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72"/>
    </row>
    <row r="158" spans="1:23" x14ac:dyDescent="0.3">
      <c r="A158" s="74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72"/>
    </row>
    <row r="159" spans="1:23" x14ac:dyDescent="0.3">
      <c r="A159" s="74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72"/>
    </row>
    <row r="160" spans="1:23" x14ac:dyDescent="0.3">
      <c r="A160" s="74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72"/>
    </row>
    <row r="161" spans="1:23" x14ac:dyDescent="0.3">
      <c r="A161" s="74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72"/>
    </row>
    <row r="162" spans="1:23" x14ac:dyDescent="0.3">
      <c r="A162" s="74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72"/>
    </row>
    <row r="163" spans="1:23" x14ac:dyDescent="0.3">
      <c r="A163" s="74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72"/>
    </row>
    <row r="164" spans="1:23" x14ac:dyDescent="0.3">
      <c r="A164" s="74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72"/>
    </row>
    <row r="165" spans="1:23" x14ac:dyDescent="0.3">
      <c r="A165" s="74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72"/>
    </row>
    <row r="166" spans="1:23" x14ac:dyDescent="0.3">
      <c r="A166" s="74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72"/>
    </row>
    <row r="167" spans="1:23" x14ac:dyDescent="0.3">
      <c r="A167" s="74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72"/>
    </row>
    <row r="168" spans="1:23" x14ac:dyDescent="0.3">
      <c r="A168" s="74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72"/>
    </row>
    <row r="169" spans="1:23" x14ac:dyDescent="0.3">
      <c r="A169" s="74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72"/>
    </row>
    <row r="170" spans="1:23" x14ac:dyDescent="0.3">
      <c r="A170" s="74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72"/>
    </row>
    <row r="171" spans="1:23" x14ac:dyDescent="0.3">
      <c r="A171" s="74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72"/>
    </row>
    <row r="172" spans="1:23" x14ac:dyDescent="0.3">
      <c r="A172" s="74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72"/>
    </row>
    <row r="173" spans="1:23" x14ac:dyDescent="0.3">
      <c r="A173" s="74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72"/>
    </row>
    <row r="174" spans="1:23" x14ac:dyDescent="0.3">
      <c r="A174" s="74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72"/>
    </row>
    <row r="175" spans="1:23" x14ac:dyDescent="0.3">
      <c r="A175" s="74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72"/>
    </row>
    <row r="176" spans="1:23" x14ac:dyDescent="0.3">
      <c r="A176" s="74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72"/>
    </row>
    <row r="177" spans="1:23" x14ac:dyDescent="0.3">
      <c r="A177" s="74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72"/>
    </row>
    <row r="178" spans="1:23" x14ac:dyDescent="0.3">
      <c r="A178" s="74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72"/>
    </row>
    <row r="179" spans="1:23" x14ac:dyDescent="0.3">
      <c r="A179" s="74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72"/>
    </row>
    <row r="180" spans="1:23" x14ac:dyDescent="0.3">
      <c r="A180" s="74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72"/>
    </row>
    <row r="181" spans="1:23" x14ac:dyDescent="0.3">
      <c r="A181" s="74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72"/>
    </row>
    <row r="182" spans="1:23" x14ac:dyDescent="0.3">
      <c r="A182" s="74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72"/>
    </row>
    <row r="183" spans="1:23" x14ac:dyDescent="0.3">
      <c r="A183" s="74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72"/>
    </row>
    <row r="184" spans="1:23" x14ac:dyDescent="0.3">
      <c r="A184" s="74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72"/>
    </row>
    <row r="185" spans="1:23" x14ac:dyDescent="0.3">
      <c r="A185" s="74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72"/>
    </row>
    <row r="186" spans="1:23" x14ac:dyDescent="0.3">
      <c r="A186" s="74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72"/>
    </row>
    <row r="187" spans="1:23" x14ac:dyDescent="0.3">
      <c r="A187" s="74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72"/>
    </row>
    <row r="188" spans="1:23" x14ac:dyDescent="0.3">
      <c r="A188" s="74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72"/>
    </row>
    <row r="189" spans="1:23" x14ac:dyDescent="0.3">
      <c r="A189" s="74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72"/>
    </row>
    <row r="190" spans="1:23" x14ac:dyDescent="0.3">
      <c r="A190" s="74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72"/>
    </row>
    <row r="191" spans="1:23" x14ac:dyDescent="0.3">
      <c r="A191" s="74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72"/>
    </row>
    <row r="192" spans="1:23" x14ac:dyDescent="0.3">
      <c r="A192" s="74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72"/>
    </row>
    <row r="193" spans="1:23" x14ac:dyDescent="0.3">
      <c r="A193" s="74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72"/>
    </row>
    <row r="194" spans="1:23" x14ac:dyDescent="0.3">
      <c r="A194" s="74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72"/>
    </row>
    <row r="195" spans="1:23" x14ac:dyDescent="0.3">
      <c r="A195" s="74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72"/>
    </row>
    <row r="196" spans="1:23" x14ac:dyDescent="0.3">
      <c r="A196" s="74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72"/>
    </row>
    <row r="197" spans="1:23" x14ac:dyDescent="0.3">
      <c r="A197" s="74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72"/>
    </row>
    <row r="198" spans="1:23" x14ac:dyDescent="0.3">
      <c r="A198" s="74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72"/>
    </row>
    <row r="199" spans="1:23" x14ac:dyDescent="0.3">
      <c r="A199" s="74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72"/>
    </row>
    <row r="200" spans="1:23" x14ac:dyDescent="0.3">
      <c r="A200" s="74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72"/>
    </row>
    <row r="201" spans="1:23" x14ac:dyDescent="0.3">
      <c r="A201" s="74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72"/>
    </row>
    <row r="202" spans="1:23" x14ac:dyDescent="0.3">
      <c r="A202" s="74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72"/>
    </row>
    <row r="203" spans="1:23" x14ac:dyDescent="0.3">
      <c r="A203" s="74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72"/>
    </row>
    <row r="204" spans="1:23" x14ac:dyDescent="0.3">
      <c r="A204" s="74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72"/>
    </row>
    <row r="205" spans="1:23" x14ac:dyDescent="0.3">
      <c r="A205" s="74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72"/>
    </row>
    <row r="206" spans="1:23" x14ac:dyDescent="0.3">
      <c r="A206" s="74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72"/>
    </row>
    <row r="207" spans="1:23" x14ac:dyDescent="0.3">
      <c r="A207" s="74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72"/>
    </row>
    <row r="208" spans="1:23" x14ac:dyDescent="0.3">
      <c r="A208" s="74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72"/>
    </row>
    <row r="209" spans="1:23" x14ac:dyDescent="0.3">
      <c r="A209" s="74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72"/>
    </row>
    <row r="210" spans="1:23" x14ac:dyDescent="0.3">
      <c r="A210" s="74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72"/>
    </row>
    <row r="211" spans="1:23" x14ac:dyDescent="0.3">
      <c r="A211" s="74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72"/>
    </row>
    <row r="212" spans="1:23" x14ac:dyDescent="0.3">
      <c r="A212" s="74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72"/>
    </row>
    <row r="213" spans="1:23" x14ac:dyDescent="0.3">
      <c r="A213" s="74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72"/>
    </row>
    <row r="214" spans="1:23" x14ac:dyDescent="0.3">
      <c r="A214" s="74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72"/>
    </row>
    <row r="215" spans="1:23" x14ac:dyDescent="0.3">
      <c r="A215" s="74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72"/>
    </row>
    <row r="216" spans="1:23" x14ac:dyDescent="0.3">
      <c r="A216" s="74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72"/>
    </row>
    <row r="217" spans="1:23" x14ac:dyDescent="0.3">
      <c r="A217" s="74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72"/>
    </row>
    <row r="218" spans="1:23" x14ac:dyDescent="0.3">
      <c r="A218" s="74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72"/>
    </row>
    <row r="219" spans="1:23" x14ac:dyDescent="0.3">
      <c r="A219" s="74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72"/>
    </row>
    <row r="220" spans="1:23" x14ac:dyDescent="0.3">
      <c r="A220" s="74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72"/>
    </row>
    <row r="221" spans="1:23" x14ac:dyDescent="0.3">
      <c r="A221" s="74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72"/>
    </row>
    <row r="222" spans="1:23" x14ac:dyDescent="0.3">
      <c r="A222" s="74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72"/>
    </row>
    <row r="223" spans="1:23" x14ac:dyDescent="0.3">
      <c r="A223" s="74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72"/>
    </row>
    <row r="224" spans="1:23" x14ac:dyDescent="0.3">
      <c r="A224" s="74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72"/>
    </row>
    <row r="225" spans="1:23" x14ac:dyDescent="0.3">
      <c r="A225" s="74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72"/>
    </row>
    <row r="226" spans="1:23" x14ac:dyDescent="0.3">
      <c r="A226" s="74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72"/>
    </row>
    <row r="227" spans="1:23" x14ac:dyDescent="0.3">
      <c r="A227" s="74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72"/>
    </row>
    <row r="228" spans="1:23" x14ac:dyDescent="0.3">
      <c r="A228" s="74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72"/>
    </row>
    <row r="229" spans="1:23" x14ac:dyDescent="0.3">
      <c r="A229" s="74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72"/>
    </row>
    <row r="230" spans="1:23" x14ac:dyDescent="0.3">
      <c r="A230" s="74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72"/>
    </row>
    <row r="231" spans="1:23" x14ac:dyDescent="0.3">
      <c r="A231" s="74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72"/>
    </row>
    <row r="232" spans="1:23" x14ac:dyDescent="0.3">
      <c r="A232" s="74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72"/>
    </row>
    <row r="233" spans="1:23" x14ac:dyDescent="0.3">
      <c r="A233" s="74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72"/>
    </row>
    <row r="234" spans="1:23" x14ac:dyDescent="0.3">
      <c r="A234" s="74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72"/>
    </row>
    <row r="235" spans="1:23" x14ac:dyDescent="0.3">
      <c r="A235" s="74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72"/>
    </row>
    <row r="236" spans="1:23" x14ac:dyDescent="0.3">
      <c r="A236" s="74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72"/>
    </row>
    <row r="237" spans="1:23" x14ac:dyDescent="0.3">
      <c r="A237" s="74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72"/>
    </row>
    <row r="238" spans="1:23" x14ac:dyDescent="0.3">
      <c r="A238" s="74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72"/>
    </row>
    <row r="239" spans="1:23" x14ac:dyDescent="0.3">
      <c r="A239" s="74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72"/>
    </row>
    <row r="240" spans="1:23" x14ac:dyDescent="0.3">
      <c r="A240" s="74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72"/>
    </row>
    <row r="241" spans="1:23" x14ac:dyDescent="0.3">
      <c r="A241" s="74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72"/>
    </row>
    <row r="242" spans="1:23" x14ac:dyDescent="0.3">
      <c r="A242" s="74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72"/>
    </row>
    <row r="243" spans="1:23" x14ac:dyDescent="0.3">
      <c r="A243" s="74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72"/>
    </row>
    <row r="244" spans="1:23" x14ac:dyDescent="0.3">
      <c r="A244" s="74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72"/>
    </row>
    <row r="245" spans="1:23" x14ac:dyDescent="0.3">
      <c r="A245" s="74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72"/>
    </row>
    <row r="246" spans="1:23" x14ac:dyDescent="0.3">
      <c r="A246" s="74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72"/>
    </row>
    <row r="247" spans="1:23" x14ac:dyDescent="0.3">
      <c r="A247" s="74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72"/>
    </row>
    <row r="248" spans="1:23" x14ac:dyDescent="0.3">
      <c r="A248" s="74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72"/>
    </row>
    <row r="249" spans="1:23" x14ac:dyDescent="0.3">
      <c r="A249" s="74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72"/>
    </row>
    <row r="250" spans="1:23" x14ac:dyDescent="0.3">
      <c r="A250" s="74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72"/>
    </row>
    <row r="251" spans="1:23" x14ac:dyDescent="0.3">
      <c r="A251" s="74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72"/>
    </row>
    <row r="252" spans="1:23" x14ac:dyDescent="0.3">
      <c r="A252" s="74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72"/>
    </row>
    <row r="253" spans="1:23" x14ac:dyDescent="0.3">
      <c r="A253" s="74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72"/>
    </row>
    <row r="254" spans="1:23" x14ac:dyDescent="0.3">
      <c r="A254" s="74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72"/>
    </row>
    <row r="255" spans="1:23" x14ac:dyDescent="0.3">
      <c r="A255" s="74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72"/>
    </row>
    <row r="256" spans="1:23" x14ac:dyDescent="0.3">
      <c r="A256" s="74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72"/>
    </row>
    <row r="257" spans="1:23" x14ac:dyDescent="0.3">
      <c r="A257" s="74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72"/>
    </row>
    <row r="258" spans="1:23" x14ac:dyDescent="0.3">
      <c r="A258" s="74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72"/>
    </row>
    <row r="259" spans="1:23" x14ac:dyDescent="0.3">
      <c r="A259" s="74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72"/>
    </row>
    <row r="260" spans="1:23" x14ac:dyDescent="0.3">
      <c r="A260" s="74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72"/>
    </row>
    <row r="261" spans="1:23" x14ac:dyDescent="0.3">
      <c r="A261" s="74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72"/>
    </row>
    <row r="262" spans="1:23" x14ac:dyDescent="0.3">
      <c r="A262" s="74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72"/>
    </row>
    <row r="263" spans="1:23" x14ac:dyDescent="0.3">
      <c r="A263" s="74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72"/>
    </row>
    <row r="264" spans="1:23" x14ac:dyDescent="0.3">
      <c r="A264" s="74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72"/>
    </row>
    <row r="265" spans="1:23" x14ac:dyDescent="0.3">
      <c r="A265" s="74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72"/>
    </row>
    <row r="266" spans="1:23" x14ac:dyDescent="0.3">
      <c r="A266" s="74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72"/>
    </row>
    <row r="267" spans="1:23" x14ac:dyDescent="0.3">
      <c r="A267" s="74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72"/>
    </row>
    <row r="268" spans="1:23" x14ac:dyDescent="0.3">
      <c r="A268" s="74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72"/>
    </row>
    <row r="269" spans="1:23" x14ac:dyDescent="0.3">
      <c r="A269" s="74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72"/>
    </row>
    <row r="270" spans="1:23" x14ac:dyDescent="0.3">
      <c r="A270" s="74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72"/>
    </row>
    <row r="271" spans="1:23" x14ac:dyDescent="0.3">
      <c r="A271" s="74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72"/>
    </row>
    <row r="272" spans="1:23" x14ac:dyDescent="0.3">
      <c r="A272" s="74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72"/>
    </row>
    <row r="273" spans="1:23" x14ac:dyDescent="0.3">
      <c r="A273" s="74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72"/>
    </row>
    <row r="274" spans="1:23" x14ac:dyDescent="0.3">
      <c r="A274" s="74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72"/>
    </row>
    <row r="275" spans="1:23" x14ac:dyDescent="0.3">
      <c r="A275" s="74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72"/>
    </row>
    <row r="276" spans="1:23" x14ac:dyDescent="0.3">
      <c r="A276" s="74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72"/>
    </row>
    <row r="277" spans="1:23" x14ac:dyDescent="0.3">
      <c r="A277" s="74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72"/>
    </row>
    <row r="278" spans="1:23" x14ac:dyDescent="0.3">
      <c r="A278" s="74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72"/>
    </row>
    <row r="279" spans="1:23" x14ac:dyDescent="0.3">
      <c r="A279" s="74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72"/>
    </row>
    <row r="280" spans="1:23" x14ac:dyDescent="0.3">
      <c r="A280" s="74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72"/>
    </row>
    <row r="281" spans="1:23" x14ac:dyDescent="0.3">
      <c r="A281" s="74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72"/>
    </row>
    <row r="282" spans="1:23" x14ac:dyDescent="0.3">
      <c r="A282" s="74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72"/>
    </row>
    <row r="283" spans="1:23" x14ac:dyDescent="0.3">
      <c r="A283" s="74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72"/>
    </row>
    <row r="284" spans="1:23" x14ac:dyDescent="0.3">
      <c r="A284" s="74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72"/>
    </row>
    <row r="285" spans="1:23" x14ac:dyDescent="0.3">
      <c r="A285" s="74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72"/>
    </row>
    <row r="286" spans="1:23" x14ac:dyDescent="0.3">
      <c r="A286" s="74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72"/>
    </row>
    <row r="287" spans="1:23" x14ac:dyDescent="0.3">
      <c r="A287" s="74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72"/>
    </row>
    <row r="288" spans="1:23" x14ac:dyDescent="0.3">
      <c r="A288" s="74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72"/>
    </row>
    <row r="289" spans="1:23" x14ac:dyDescent="0.3">
      <c r="A289" s="74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72"/>
    </row>
    <row r="290" spans="1:23" x14ac:dyDescent="0.3">
      <c r="A290" s="74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72"/>
    </row>
    <row r="291" spans="1:23" x14ac:dyDescent="0.3">
      <c r="A291" s="74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72"/>
    </row>
    <row r="292" spans="1:23" x14ac:dyDescent="0.3">
      <c r="A292" s="74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72"/>
    </row>
    <row r="293" spans="1:23" x14ac:dyDescent="0.3">
      <c r="A293" s="74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72"/>
    </row>
    <row r="294" spans="1:23" x14ac:dyDescent="0.3">
      <c r="A294" s="74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72"/>
    </row>
    <row r="295" spans="1:23" x14ac:dyDescent="0.3">
      <c r="A295" s="74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72"/>
    </row>
    <row r="296" spans="1:23" x14ac:dyDescent="0.3">
      <c r="A296" s="74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72"/>
    </row>
    <row r="297" spans="1:23" x14ac:dyDescent="0.3">
      <c r="A297" s="74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72"/>
    </row>
    <row r="298" spans="1:23" x14ac:dyDescent="0.3">
      <c r="A298" s="74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72"/>
    </row>
    <row r="299" spans="1:23" x14ac:dyDescent="0.3">
      <c r="A299" s="74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72"/>
    </row>
    <row r="300" spans="1:23" x14ac:dyDescent="0.3">
      <c r="A300" s="74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72"/>
    </row>
    <row r="301" spans="1:23" x14ac:dyDescent="0.3">
      <c r="A301" s="74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72"/>
    </row>
    <row r="302" spans="1:23" x14ac:dyDescent="0.3">
      <c r="A302" s="74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72"/>
    </row>
    <row r="303" spans="1:23" x14ac:dyDescent="0.3">
      <c r="A303" s="74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72"/>
    </row>
    <row r="304" spans="1:23" x14ac:dyDescent="0.3">
      <c r="A304" s="74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72"/>
    </row>
    <row r="305" spans="1:23" x14ac:dyDescent="0.3">
      <c r="A305" s="74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72"/>
    </row>
    <row r="306" spans="1:23" x14ac:dyDescent="0.3">
      <c r="A306" s="74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72"/>
    </row>
    <row r="307" spans="1:23" x14ac:dyDescent="0.3">
      <c r="A307" s="74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72"/>
    </row>
    <row r="308" spans="1:23" x14ac:dyDescent="0.3">
      <c r="A308" s="74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72"/>
    </row>
    <row r="309" spans="1:23" x14ac:dyDescent="0.3">
      <c r="A309" s="74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72"/>
    </row>
    <row r="310" spans="1:23" x14ac:dyDescent="0.3">
      <c r="A310" s="74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72"/>
    </row>
    <row r="311" spans="1:23" x14ac:dyDescent="0.3">
      <c r="A311" s="74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72"/>
    </row>
    <row r="312" spans="1:23" x14ac:dyDescent="0.3">
      <c r="A312" s="74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72"/>
    </row>
    <row r="313" spans="1:23" x14ac:dyDescent="0.3">
      <c r="A313" s="74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72"/>
    </row>
    <row r="314" spans="1:23" x14ac:dyDescent="0.3">
      <c r="A314" s="74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72"/>
    </row>
    <row r="315" spans="1:23" x14ac:dyDescent="0.3">
      <c r="A315" s="74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72"/>
    </row>
    <row r="316" spans="1:23" x14ac:dyDescent="0.3">
      <c r="A316" s="74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72"/>
    </row>
    <row r="317" spans="1:23" x14ac:dyDescent="0.3">
      <c r="A317" s="74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72"/>
    </row>
    <row r="318" spans="1:23" x14ac:dyDescent="0.3">
      <c r="A318" s="74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72"/>
    </row>
    <row r="319" spans="1:23" x14ac:dyDescent="0.3">
      <c r="A319" s="74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72"/>
    </row>
    <row r="320" spans="1:23" x14ac:dyDescent="0.3">
      <c r="A320" s="74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72"/>
    </row>
    <row r="321" spans="1:23" x14ac:dyDescent="0.3">
      <c r="A321" s="74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72"/>
    </row>
    <row r="322" spans="1:23" x14ac:dyDescent="0.3">
      <c r="A322" s="74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72"/>
    </row>
    <row r="323" spans="1:23" x14ac:dyDescent="0.3">
      <c r="A323" s="74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72"/>
    </row>
    <row r="324" spans="1:23" x14ac:dyDescent="0.3">
      <c r="A324" s="74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72"/>
    </row>
    <row r="325" spans="1:23" x14ac:dyDescent="0.3">
      <c r="A325" s="74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72"/>
    </row>
    <row r="326" spans="1:23" x14ac:dyDescent="0.3">
      <c r="A326" s="74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72"/>
    </row>
    <row r="327" spans="1:23" x14ac:dyDescent="0.3">
      <c r="A327" s="74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72"/>
    </row>
    <row r="328" spans="1:23" x14ac:dyDescent="0.3">
      <c r="A328" s="74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72"/>
    </row>
    <row r="329" spans="1:23" x14ac:dyDescent="0.3">
      <c r="A329" s="74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72"/>
    </row>
    <row r="330" spans="1:23" x14ac:dyDescent="0.3">
      <c r="A330" s="74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72"/>
    </row>
    <row r="331" spans="1:23" x14ac:dyDescent="0.3">
      <c r="A331" s="74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72"/>
    </row>
    <row r="332" spans="1:23" x14ac:dyDescent="0.3">
      <c r="A332" s="74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72"/>
    </row>
    <row r="333" spans="1:23" x14ac:dyDescent="0.3">
      <c r="A333" s="74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72"/>
    </row>
    <row r="334" spans="1:23" x14ac:dyDescent="0.3">
      <c r="A334" s="74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72"/>
    </row>
    <row r="335" spans="1:23" x14ac:dyDescent="0.3">
      <c r="A335" s="74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72"/>
    </row>
    <row r="336" spans="1:23" x14ac:dyDescent="0.3">
      <c r="A336" s="74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72"/>
    </row>
    <row r="337" spans="1:23" x14ac:dyDescent="0.3">
      <c r="A337" s="74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72"/>
    </row>
    <row r="338" spans="1:23" x14ac:dyDescent="0.3">
      <c r="A338" s="74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72"/>
    </row>
    <row r="339" spans="1:23" x14ac:dyDescent="0.3">
      <c r="A339" s="74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72"/>
    </row>
    <row r="340" spans="1:23" x14ac:dyDescent="0.3">
      <c r="A340" s="74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72"/>
    </row>
    <row r="341" spans="1:23" x14ac:dyDescent="0.3">
      <c r="A341" s="74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72"/>
    </row>
    <row r="342" spans="1:23" x14ac:dyDescent="0.3">
      <c r="A342" s="74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72"/>
    </row>
    <row r="343" spans="1:23" x14ac:dyDescent="0.3">
      <c r="A343" s="74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72"/>
    </row>
    <row r="344" spans="1:23" x14ac:dyDescent="0.3">
      <c r="A344" s="74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72"/>
    </row>
    <row r="345" spans="1:23" x14ac:dyDescent="0.3">
      <c r="A345" s="74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72"/>
    </row>
    <row r="346" spans="1:23" x14ac:dyDescent="0.3">
      <c r="A346" s="74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72"/>
    </row>
    <row r="347" spans="1:23" x14ac:dyDescent="0.3">
      <c r="A347" s="74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72"/>
    </row>
    <row r="348" spans="1:23" x14ac:dyDescent="0.3">
      <c r="A348" s="74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72"/>
    </row>
    <row r="349" spans="1:23" x14ac:dyDescent="0.3">
      <c r="A349" s="74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72"/>
    </row>
    <row r="350" spans="1:23" x14ac:dyDescent="0.3">
      <c r="A350" s="74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72"/>
    </row>
    <row r="351" spans="1:23" x14ac:dyDescent="0.3">
      <c r="A351" s="74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72"/>
    </row>
    <row r="352" spans="1:23" x14ac:dyDescent="0.3">
      <c r="A352" s="74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72"/>
    </row>
    <row r="353" spans="1:23" x14ac:dyDescent="0.3">
      <c r="A353" s="74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72"/>
    </row>
    <row r="354" spans="1:23" x14ac:dyDescent="0.3">
      <c r="A354" s="74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72"/>
    </row>
    <row r="355" spans="1:23" x14ac:dyDescent="0.3">
      <c r="A355" s="74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72"/>
    </row>
    <row r="356" spans="1:23" x14ac:dyDescent="0.3">
      <c r="A356" s="74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72"/>
    </row>
    <row r="357" spans="1:23" x14ac:dyDescent="0.3">
      <c r="A357" s="74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72"/>
    </row>
    <row r="358" spans="1:23" x14ac:dyDescent="0.3">
      <c r="A358" s="74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72"/>
    </row>
    <row r="359" spans="1:23" x14ac:dyDescent="0.3">
      <c r="A359" s="74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72"/>
    </row>
    <row r="360" spans="1:23" x14ac:dyDescent="0.3">
      <c r="A360" s="74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72"/>
    </row>
    <row r="361" spans="1:23" x14ac:dyDescent="0.3">
      <c r="A361" s="74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72"/>
    </row>
    <row r="362" spans="1:23" x14ac:dyDescent="0.3">
      <c r="A362" s="74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72"/>
    </row>
    <row r="363" spans="1:23" x14ac:dyDescent="0.3">
      <c r="A363" s="74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72"/>
    </row>
    <row r="364" spans="1:23" x14ac:dyDescent="0.3">
      <c r="A364" s="74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72"/>
    </row>
    <row r="365" spans="1:23" x14ac:dyDescent="0.3">
      <c r="A365" s="74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72"/>
    </row>
    <row r="366" spans="1:23" x14ac:dyDescent="0.3">
      <c r="A366" s="74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72"/>
    </row>
    <row r="367" spans="1:23" x14ac:dyDescent="0.3">
      <c r="A367" s="74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72"/>
    </row>
    <row r="368" spans="1:23" x14ac:dyDescent="0.3">
      <c r="A368" s="74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72"/>
    </row>
    <row r="369" spans="1:23" x14ac:dyDescent="0.3">
      <c r="A369" s="74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72"/>
    </row>
    <row r="370" spans="1:23" x14ac:dyDescent="0.3">
      <c r="A370" s="74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72"/>
    </row>
    <row r="371" spans="1:23" x14ac:dyDescent="0.3">
      <c r="A371" s="74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72"/>
    </row>
    <row r="372" spans="1:23" x14ac:dyDescent="0.3">
      <c r="A372" s="74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72"/>
    </row>
    <row r="373" spans="1:23" x14ac:dyDescent="0.3">
      <c r="A373" s="74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72"/>
    </row>
    <row r="374" spans="1:23" x14ac:dyDescent="0.3">
      <c r="A374" s="74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72"/>
    </row>
    <row r="375" spans="1:23" x14ac:dyDescent="0.3">
      <c r="A375" s="74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72"/>
    </row>
    <row r="376" spans="1:23" x14ac:dyDescent="0.3">
      <c r="A376" s="74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72"/>
    </row>
    <row r="377" spans="1:23" x14ac:dyDescent="0.3">
      <c r="A377" s="74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72"/>
    </row>
    <row r="378" spans="1:23" x14ac:dyDescent="0.3">
      <c r="A378" s="74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72"/>
    </row>
    <row r="379" spans="1:23" x14ac:dyDescent="0.3">
      <c r="A379" s="74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72"/>
    </row>
    <row r="380" spans="1:23" x14ac:dyDescent="0.3">
      <c r="A380" s="74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72"/>
    </row>
    <row r="381" spans="1:23" x14ac:dyDescent="0.3">
      <c r="A381" s="74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72"/>
    </row>
    <row r="382" spans="1:23" x14ac:dyDescent="0.3">
      <c r="A382" s="74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72"/>
    </row>
    <row r="383" spans="1:23" x14ac:dyDescent="0.3">
      <c r="A383" s="74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72"/>
    </row>
    <row r="384" spans="1:23" x14ac:dyDescent="0.3">
      <c r="A384" s="74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72"/>
    </row>
    <row r="385" spans="1:23" x14ac:dyDescent="0.3">
      <c r="A385" s="74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72"/>
    </row>
    <row r="386" spans="1:23" x14ac:dyDescent="0.3">
      <c r="A386" s="74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72"/>
    </row>
    <row r="387" spans="1:23" x14ac:dyDescent="0.3">
      <c r="A387" s="74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72"/>
    </row>
    <row r="388" spans="1:23" x14ac:dyDescent="0.3">
      <c r="A388" s="74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72"/>
    </row>
    <row r="389" spans="1:23" x14ac:dyDescent="0.3">
      <c r="A389" s="74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72"/>
    </row>
    <row r="390" spans="1:23" x14ac:dyDescent="0.3">
      <c r="A390" s="74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72"/>
    </row>
    <row r="391" spans="1:23" x14ac:dyDescent="0.3">
      <c r="A391" s="74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72"/>
    </row>
    <row r="392" spans="1:23" x14ac:dyDescent="0.3">
      <c r="A392" s="74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72"/>
    </row>
    <row r="393" spans="1:23" x14ac:dyDescent="0.3">
      <c r="A393" s="74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72"/>
    </row>
    <row r="394" spans="1:23" x14ac:dyDescent="0.3">
      <c r="A394" s="74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72"/>
    </row>
    <row r="395" spans="1:23" x14ac:dyDescent="0.3">
      <c r="A395" s="74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72"/>
    </row>
    <row r="396" spans="1:23" x14ac:dyDescent="0.3">
      <c r="A396" s="74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72"/>
    </row>
    <row r="397" spans="1:23" x14ac:dyDescent="0.3">
      <c r="A397" s="74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72"/>
    </row>
    <row r="398" spans="1:23" x14ac:dyDescent="0.3">
      <c r="A398" s="74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72"/>
    </row>
    <row r="399" spans="1:23" x14ac:dyDescent="0.3">
      <c r="A399" s="74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72"/>
    </row>
    <row r="400" spans="1:23" x14ac:dyDescent="0.3">
      <c r="A400" s="74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72"/>
    </row>
    <row r="401" spans="1:23" x14ac:dyDescent="0.3">
      <c r="A401" s="74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72"/>
    </row>
    <row r="402" spans="1:23" x14ac:dyDescent="0.3">
      <c r="A402" s="74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72"/>
    </row>
    <row r="403" spans="1:23" x14ac:dyDescent="0.3">
      <c r="A403" s="74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72"/>
    </row>
    <row r="404" spans="1:23" x14ac:dyDescent="0.3">
      <c r="A404" s="74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72"/>
    </row>
    <row r="405" spans="1:23" x14ac:dyDescent="0.3">
      <c r="A405" s="74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72"/>
    </row>
    <row r="406" spans="1:23" x14ac:dyDescent="0.3">
      <c r="A406" s="74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72"/>
    </row>
    <row r="407" spans="1:23" x14ac:dyDescent="0.3">
      <c r="A407" s="74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72"/>
    </row>
    <row r="408" spans="1:23" x14ac:dyDescent="0.3">
      <c r="A408" s="74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72"/>
    </row>
    <row r="409" spans="1:23" x14ac:dyDescent="0.3">
      <c r="A409" s="74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72"/>
    </row>
    <row r="410" spans="1:23" x14ac:dyDescent="0.3">
      <c r="A410" s="74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72"/>
    </row>
    <row r="411" spans="1:23" x14ac:dyDescent="0.3">
      <c r="A411" s="74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72"/>
    </row>
    <row r="412" spans="1:23" x14ac:dyDescent="0.3">
      <c r="A412" s="74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72"/>
    </row>
    <row r="413" spans="1:23" x14ac:dyDescent="0.3">
      <c r="A413" s="74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72"/>
    </row>
    <row r="414" spans="1:23" x14ac:dyDescent="0.3">
      <c r="A414" s="74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72"/>
    </row>
    <row r="415" spans="1:23" x14ac:dyDescent="0.3">
      <c r="A415" s="74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72"/>
    </row>
    <row r="416" spans="1:23" x14ac:dyDescent="0.3">
      <c r="A416" s="74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72"/>
    </row>
    <row r="417" spans="1:23" x14ac:dyDescent="0.3">
      <c r="A417" s="74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72"/>
    </row>
    <row r="418" spans="1:23" x14ac:dyDescent="0.3">
      <c r="A418" s="74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72"/>
    </row>
    <row r="419" spans="1:23" x14ac:dyDescent="0.3">
      <c r="A419" s="74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72"/>
    </row>
    <row r="420" spans="1:23" x14ac:dyDescent="0.3">
      <c r="A420" s="74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72"/>
    </row>
    <row r="421" spans="1:23" x14ac:dyDescent="0.3">
      <c r="A421" s="74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72"/>
    </row>
    <row r="422" spans="1:23" x14ac:dyDescent="0.3">
      <c r="A422" s="74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72"/>
    </row>
    <row r="423" spans="1:23" x14ac:dyDescent="0.3">
      <c r="A423" s="74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72"/>
    </row>
    <row r="424" spans="1:23" x14ac:dyDescent="0.3">
      <c r="A424" s="74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72"/>
    </row>
    <row r="425" spans="1:23" x14ac:dyDescent="0.3">
      <c r="A425" s="74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72"/>
    </row>
    <row r="426" spans="1:23" x14ac:dyDescent="0.3">
      <c r="A426" s="74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72"/>
    </row>
    <row r="427" spans="1:23" x14ac:dyDescent="0.3">
      <c r="A427" s="74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72"/>
    </row>
    <row r="428" spans="1:23" x14ac:dyDescent="0.3">
      <c r="A428" s="74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72"/>
    </row>
    <row r="429" spans="1:23" x14ac:dyDescent="0.3">
      <c r="A429" s="74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72"/>
    </row>
    <row r="430" spans="1:23" x14ac:dyDescent="0.3">
      <c r="A430" s="74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72"/>
    </row>
    <row r="431" spans="1:23" x14ac:dyDescent="0.3">
      <c r="A431" s="74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72"/>
    </row>
    <row r="432" spans="1:23" x14ac:dyDescent="0.3">
      <c r="A432" s="74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72"/>
    </row>
    <row r="433" spans="1:23" x14ac:dyDescent="0.3">
      <c r="A433" s="74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72"/>
    </row>
    <row r="434" spans="1:23" x14ac:dyDescent="0.3">
      <c r="A434" s="74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72"/>
    </row>
    <row r="435" spans="1:23" x14ac:dyDescent="0.3">
      <c r="A435" s="74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72"/>
    </row>
    <row r="436" spans="1:23" x14ac:dyDescent="0.3">
      <c r="A436" s="74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72"/>
    </row>
    <row r="437" spans="1:23" x14ac:dyDescent="0.3">
      <c r="A437" s="74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72"/>
    </row>
    <row r="438" spans="1:23" x14ac:dyDescent="0.3">
      <c r="A438" s="74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72"/>
    </row>
    <row r="439" spans="1:23" x14ac:dyDescent="0.3">
      <c r="A439" s="74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72"/>
    </row>
    <row r="440" spans="1:23" x14ac:dyDescent="0.3">
      <c r="A440" s="74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72"/>
    </row>
    <row r="441" spans="1:23" x14ac:dyDescent="0.3">
      <c r="A441" s="74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72"/>
    </row>
    <row r="442" spans="1:23" x14ac:dyDescent="0.3">
      <c r="A442" s="74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72"/>
    </row>
    <row r="443" spans="1:23" x14ac:dyDescent="0.3">
      <c r="A443" s="74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72"/>
    </row>
    <row r="444" spans="1:23" x14ac:dyDescent="0.3">
      <c r="A444" s="74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72"/>
    </row>
    <row r="445" spans="1:23" x14ac:dyDescent="0.3">
      <c r="A445" s="74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72"/>
    </row>
    <row r="446" spans="1:23" x14ac:dyDescent="0.3">
      <c r="A446" s="74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72"/>
    </row>
    <row r="447" spans="1:23" x14ac:dyDescent="0.3">
      <c r="A447" s="74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72"/>
    </row>
    <row r="448" spans="1:23" x14ac:dyDescent="0.3">
      <c r="A448" s="74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72"/>
    </row>
    <row r="449" spans="1:23" x14ac:dyDescent="0.3">
      <c r="A449" s="74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72"/>
    </row>
    <row r="450" spans="1:23" x14ac:dyDescent="0.3">
      <c r="A450" s="74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72"/>
    </row>
    <row r="451" spans="1:23" x14ac:dyDescent="0.3">
      <c r="A451" s="74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72"/>
    </row>
    <row r="452" spans="1:23" x14ac:dyDescent="0.3">
      <c r="A452" s="74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72"/>
    </row>
    <row r="453" spans="1:23" x14ac:dyDescent="0.3">
      <c r="A453" s="74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72"/>
    </row>
    <row r="454" spans="1:23" x14ac:dyDescent="0.3">
      <c r="A454" s="74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72"/>
    </row>
    <row r="455" spans="1:23" x14ac:dyDescent="0.3">
      <c r="A455" s="74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72"/>
    </row>
    <row r="456" spans="1:23" x14ac:dyDescent="0.3">
      <c r="A456" s="74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72"/>
    </row>
    <row r="457" spans="1:23" x14ac:dyDescent="0.3">
      <c r="A457" s="74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72"/>
    </row>
    <row r="458" spans="1:23" x14ac:dyDescent="0.3">
      <c r="A458" s="74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72"/>
    </row>
    <row r="459" spans="1:23" x14ac:dyDescent="0.3">
      <c r="A459" s="74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72"/>
    </row>
    <row r="460" spans="1:23" x14ac:dyDescent="0.3">
      <c r="A460" s="74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72"/>
    </row>
    <row r="461" spans="1:23" x14ac:dyDescent="0.3">
      <c r="A461" s="74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72"/>
    </row>
    <row r="462" spans="1:23" x14ac:dyDescent="0.3">
      <c r="A462" s="74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72"/>
    </row>
    <row r="463" spans="1:23" x14ac:dyDescent="0.3">
      <c r="A463" s="74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72"/>
    </row>
    <row r="464" spans="1:23" x14ac:dyDescent="0.3">
      <c r="A464" s="74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72"/>
    </row>
    <row r="465" spans="1:23" x14ac:dyDescent="0.3">
      <c r="A465" s="74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72"/>
    </row>
    <row r="466" spans="1:23" x14ac:dyDescent="0.3">
      <c r="A466" s="74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72"/>
    </row>
    <row r="467" spans="1:23" x14ac:dyDescent="0.3">
      <c r="A467" s="74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72"/>
    </row>
    <row r="468" spans="1:23" x14ac:dyDescent="0.3">
      <c r="A468" s="74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72"/>
    </row>
    <row r="469" spans="1:23" x14ac:dyDescent="0.3">
      <c r="A469" s="74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72"/>
    </row>
    <row r="470" spans="1:23" x14ac:dyDescent="0.3">
      <c r="A470" s="74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72"/>
    </row>
    <row r="471" spans="1:23" x14ac:dyDescent="0.3">
      <c r="A471" s="74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72"/>
    </row>
    <row r="472" spans="1:23" x14ac:dyDescent="0.3">
      <c r="A472" s="74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72"/>
    </row>
    <row r="473" spans="1:23" x14ac:dyDescent="0.3">
      <c r="A473" s="74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72"/>
    </row>
    <row r="474" spans="1:23" x14ac:dyDescent="0.3">
      <c r="A474" s="74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72"/>
    </row>
    <row r="475" spans="1:23" x14ac:dyDescent="0.3">
      <c r="A475" s="74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72"/>
    </row>
    <row r="476" spans="1:23" x14ac:dyDescent="0.3">
      <c r="A476" s="74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72"/>
    </row>
    <row r="477" spans="1:23" x14ac:dyDescent="0.3">
      <c r="A477" s="74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72"/>
    </row>
    <row r="478" spans="1:23" x14ac:dyDescent="0.3">
      <c r="A478" s="74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72"/>
    </row>
    <row r="479" spans="1:23" x14ac:dyDescent="0.3">
      <c r="A479" s="74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72"/>
    </row>
    <row r="480" spans="1:23" x14ac:dyDescent="0.3">
      <c r="A480" s="74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72"/>
    </row>
    <row r="481" spans="1:23" x14ac:dyDescent="0.3">
      <c r="A481" s="74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72"/>
    </row>
    <row r="482" spans="1:23" x14ac:dyDescent="0.3">
      <c r="A482" s="74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72"/>
    </row>
    <row r="483" spans="1:23" x14ac:dyDescent="0.3">
      <c r="A483" s="74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72"/>
    </row>
    <row r="484" spans="1:23" x14ac:dyDescent="0.3">
      <c r="A484" s="74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72"/>
    </row>
    <row r="485" spans="1:23" x14ac:dyDescent="0.3">
      <c r="A485" s="74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72"/>
    </row>
    <row r="486" spans="1:23" x14ac:dyDescent="0.3">
      <c r="A486" s="74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72"/>
    </row>
    <row r="487" spans="1:23" x14ac:dyDescent="0.3">
      <c r="A487" s="74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72"/>
    </row>
    <row r="488" spans="1:23" x14ac:dyDescent="0.3">
      <c r="A488" s="74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72"/>
    </row>
    <row r="489" spans="1:23" x14ac:dyDescent="0.3">
      <c r="A489" s="74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72"/>
    </row>
    <row r="490" spans="1:23" x14ac:dyDescent="0.3">
      <c r="A490" s="74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72"/>
    </row>
    <row r="491" spans="1:23" x14ac:dyDescent="0.3">
      <c r="A491" s="74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72"/>
    </row>
    <row r="492" spans="1:23" x14ac:dyDescent="0.3">
      <c r="A492" s="74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72"/>
    </row>
    <row r="493" spans="1:23" x14ac:dyDescent="0.3">
      <c r="A493" s="74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72"/>
    </row>
    <row r="494" spans="1:23" x14ac:dyDescent="0.3">
      <c r="A494" s="74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72"/>
    </row>
    <row r="495" spans="1:23" x14ac:dyDescent="0.3">
      <c r="A495" s="74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72"/>
    </row>
    <row r="496" spans="1:23" x14ac:dyDescent="0.3">
      <c r="A496" s="74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72"/>
    </row>
    <row r="497" spans="1:23" x14ac:dyDescent="0.3">
      <c r="A497" s="74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72"/>
    </row>
    <row r="498" spans="1:23" x14ac:dyDescent="0.3">
      <c r="A498" s="74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72"/>
    </row>
    <row r="499" spans="1:23" x14ac:dyDescent="0.3">
      <c r="A499" s="74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72"/>
    </row>
    <row r="500" spans="1:23" x14ac:dyDescent="0.3">
      <c r="A500" s="74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72"/>
    </row>
    <row r="501" spans="1:23" x14ac:dyDescent="0.3">
      <c r="A501" s="74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72"/>
    </row>
    <row r="502" spans="1:23" x14ac:dyDescent="0.3">
      <c r="A502" s="74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72"/>
    </row>
    <row r="503" spans="1:23" x14ac:dyDescent="0.3">
      <c r="A503" s="74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72"/>
    </row>
    <row r="504" spans="1:23" x14ac:dyDescent="0.3">
      <c r="A504" s="74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72"/>
    </row>
    <row r="505" spans="1:23" x14ac:dyDescent="0.3">
      <c r="A505" s="74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72"/>
    </row>
    <row r="506" spans="1:23" x14ac:dyDescent="0.3">
      <c r="A506" s="74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72"/>
    </row>
    <row r="507" spans="1:23" x14ac:dyDescent="0.3">
      <c r="A507" s="74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72"/>
    </row>
    <row r="508" spans="1:23" x14ac:dyDescent="0.3">
      <c r="A508" s="74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72"/>
    </row>
    <row r="509" spans="1:23" x14ac:dyDescent="0.3">
      <c r="A509" s="74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72"/>
    </row>
    <row r="510" spans="1:23" x14ac:dyDescent="0.3">
      <c r="A510" s="74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72"/>
    </row>
    <row r="511" spans="1:23" x14ac:dyDescent="0.3">
      <c r="A511" s="74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72"/>
    </row>
    <row r="512" spans="1:23" x14ac:dyDescent="0.3">
      <c r="A512" s="74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72"/>
    </row>
    <row r="513" spans="1:23" x14ac:dyDescent="0.3">
      <c r="A513" s="74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72"/>
    </row>
    <row r="514" spans="1:23" x14ac:dyDescent="0.3">
      <c r="A514" s="74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72"/>
    </row>
    <row r="515" spans="1:23" x14ac:dyDescent="0.3">
      <c r="A515" s="74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72"/>
    </row>
    <row r="516" spans="1:23" x14ac:dyDescent="0.3">
      <c r="A516" s="74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72"/>
    </row>
    <row r="517" spans="1:23" x14ac:dyDescent="0.3">
      <c r="A517" s="74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72"/>
    </row>
    <row r="518" spans="1:23" x14ac:dyDescent="0.3">
      <c r="A518" s="74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72"/>
    </row>
    <row r="519" spans="1:23" x14ac:dyDescent="0.3">
      <c r="A519" s="74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72"/>
    </row>
    <row r="520" spans="1:23" x14ac:dyDescent="0.3">
      <c r="A520" s="74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72"/>
    </row>
    <row r="521" spans="1:23" x14ac:dyDescent="0.3">
      <c r="A521" s="74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72"/>
    </row>
    <row r="522" spans="1:23" x14ac:dyDescent="0.3">
      <c r="A522" s="74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72"/>
    </row>
    <row r="523" spans="1:23" x14ac:dyDescent="0.3">
      <c r="A523" s="74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72"/>
    </row>
    <row r="524" spans="1:23" x14ac:dyDescent="0.3">
      <c r="A524" s="74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72"/>
    </row>
    <row r="525" spans="1:23" x14ac:dyDescent="0.3">
      <c r="A525" s="74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72"/>
    </row>
    <row r="526" spans="1:23" x14ac:dyDescent="0.3">
      <c r="A526" s="74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72"/>
    </row>
    <row r="527" spans="1:23" x14ac:dyDescent="0.3">
      <c r="A527" s="74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72"/>
    </row>
    <row r="528" spans="1:23" x14ac:dyDescent="0.3">
      <c r="A528" s="74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72"/>
    </row>
    <row r="529" spans="1:23" x14ac:dyDescent="0.3">
      <c r="A529" s="74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72"/>
    </row>
    <row r="530" spans="1:23" x14ac:dyDescent="0.3">
      <c r="A530" s="74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72"/>
    </row>
    <row r="531" spans="1:23" x14ac:dyDescent="0.3">
      <c r="A531" s="74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72"/>
    </row>
    <row r="532" spans="1:23" x14ac:dyDescent="0.3">
      <c r="A532" s="74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72"/>
    </row>
    <row r="533" spans="1:23" x14ac:dyDescent="0.3">
      <c r="A533" s="74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72"/>
    </row>
    <row r="534" spans="1:23" x14ac:dyDescent="0.3">
      <c r="A534" s="74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72"/>
    </row>
    <row r="535" spans="1:23" x14ac:dyDescent="0.3">
      <c r="A535" s="74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72"/>
    </row>
    <row r="536" spans="1:23" x14ac:dyDescent="0.3">
      <c r="A536" s="74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72"/>
    </row>
    <row r="537" spans="1:23" x14ac:dyDescent="0.3">
      <c r="A537" s="74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72"/>
    </row>
    <row r="538" spans="1:23" x14ac:dyDescent="0.3">
      <c r="A538" s="74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72"/>
    </row>
    <row r="539" spans="1:23" x14ac:dyDescent="0.3">
      <c r="A539" s="74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72"/>
    </row>
    <row r="540" spans="1:23" x14ac:dyDescent="0.3">
      <c r="A540" s="74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72"/>
    </row>
    <row r="541" spans="1:23" x14ac:dyDescent="0.3">
      <c r="A541" s="74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72"/>
    </row>
    <row r="542" spans="1:23" x14ac:dyDescent="0.3">
      <c r="A542" s="74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72"/>
    </row>
    <row r="543" spans="1:23" x14ac:dyDescent="0.3">
      <c r="A543" s="74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72"/>
    </row>
    <row r="544" spans="1:23" x14ac:dyDescent="0.3">
      <c r="A544" s="74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72"/>
    </row>
    <row r="545" spans="1:23" x14ac:dyDescent="0.3">
      <c r="A545" s="74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72"/>
    </row>
    <row r="546" spans="1:23" x14ac:dyDescent="0.3">
      <c r="A546" s="74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72"/>
    </row>
    <row r="547" spans="1:23" x14ac:dyDescent="0.3">
      <c r="A547" s="74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72"/>
    </row>
    <row r="548" spans="1:23" x14ac:dyDescent="0.3">
      <c r="A548" s="74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72"/>
    </row>
    <row r="549" spans="1:23" x14ac:dyDescent="0.3">
      <c r="A549" s="74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72"/>
    </row>
    <row r="550" spans="1:23" x14ac:dyDescent="0.3">
      <c r="A550" s="74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72"/>
    </row>
    <row r="551" spans="1:23" x14ac:dyDescent="0.3">
      <c r="A551" s="74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72"/>
    </row>
    <row r="552" spans="1:23" x14ac:dyDescent="0.3">
      <c r="A552" s="74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72"/>
    </row>
    <row r="553" spans="1:23" x14ac:dyDescent="0.3">
      <c r="A553" s="74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72"/>
    </row>
    <row r="554" spans="1:23" x14ac:dyDescent="0.3">
      <c r="A554" s="74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72"/>
    </row>
    <row r="555" spans="1:23" x14ac:dyDescent="0.3">
      <c r="A555" s="74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72"/>
    </row>
    <row r="556" spans="1:23" x14ac:dyDescent="0.3">
      <c r="A556" s="74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72"/>
    </row>
    <row r="557" spans="1:23" x14ac:dyDescent="0.3">
      <c r="A557" s="74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72"/>
    </row>
    <row r="558" spans="1:23" x14ac:dyDescent="0.3">
      <c r="A558" s="74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72"/>
    </row>
    <row r="559" spans="1:23" x14ac:dyDescent="0.3">
      <c r="A559" s="74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72"/>
    </row>
    <row r="560" spans="1:23" x14ac:dyDescent="0.3">
      <c r="A560" s="74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72"/>
    </row>
    <row r="561" spans="1:23" x14ac:dyDescent="0.3">
      <c r="A561" s="74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72"/>
    </row>
    <row r="562" spans="1:23" x14ac:dyDescent="0.3">
      <c r="A562" s="74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72"/>
    </row>
    <row r="563" spans="1:23" x14ac:dyDescent="0.3">
      <c r="A563" s="74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72"/>
    </row>
    <row r="564" spans="1:23" x14ac:dyDescent="0.3">
      <c r="A564" s="74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72"/>
    </row>
    <row r="565" spans="1:23" x14ac:dyDescent="0.3">
      <c r="A565" s="74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72"/>
    </row>
    <row r="566" spans="1:23" x14ac:dyDescent="0.3">
      <c r="A566" s="74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72"/>
    </row>
    <row r="567" spans="1:23" x14ac:dyDescent="0.3">
      <c r="A567" s="74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72"/>
    </row>
    <row r="568" spans="1:23" x14ac:dyDescent="0.3">
      <c r="A568" s="74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72"/>
    </row>
    <row r="569" spans="1:23" x14ac:dyDescent="0.3">
      <c r="A569" s="74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72"/>
    </row>
    <row r="570" spans="1:23" x14ac:dyDescent="0.3">
      <c r="A570" s="74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72"/>
    </row>
    <row r="571" spans="1:23" x14ac:dyDescent="0.3">
      <c r="A571" s="74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72"/>
    </row>
    <row r="572" spans="1:23" x14ac:dyDescent="0.3">
      <c r="A572" s="74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72"/>
    </row>
    <row r="573" spans="1:23" x14ac:dyDescent="0.3">
      <c r="A573" s="74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72"/>
    </row>
    <row r="574" spans="1:23" x14ac:dyDescent="0.3">
      <c r="A574" s="74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72"/>
    </row>
    <row r="575" spans="1:23" x14ac:dyDescent="0.3">
      <c r="A575" s="74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72"/>
    </row>
    <row r="576" spans="1:23" x14ac:dyDescent="0.3">
      <c r="A576" s="74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72"/>
    </row>
    <row r="577" spans="1:23" x14ac:dyDescent="0.3">
      <c r="A577" s="74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72"/>
    </row>
    <row r="578" spans="1:23" x14ac:dyDescent="0.3">
      <c r="A578" s="74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72"/>
    </row>
    <row r="579" spans="1:23" x14ac:dyDescent="0.3">
      <c r="A579" s="74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72"/>
    </row>
    <row r="580" spans="1:23" x14ac:dyDescent="0.3">
      <c r="A580" s="74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72"/>
    </row>
    <row r="581" spans="1:23" x14ac:dyDescent="0.3">
      <c r="A581" s="74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72"/>
    </row>
    <row r="582" spans="1:23" x14ac:dyDescent="0.3">
      <c r="A582" s="74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72"/>
    </row>
    <row r="583" spans="1:23" x14ac:dyDescent="0.3">
      <c r="A583" s="74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72"/>
    </row>
    <row r="584" spans="1:23" x14ac:dyDescent="0.3">
      <c r="A584" s="74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72"/>
    </row>
    <row r="585" spans="1:23" x14ac:dyDescent="0.3">
      <c r="A585" s="74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72"/>
    </row>
    <row r="586" spans="1:23" x14ac:dyDescent="0.3">
      <c r="A586" s="74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72"/>
    </row>
    <row r="587" spans="1:23" x14ac:dyDescent="0.3">
      <c r="A587" s="74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72"/>
    </row>
    <row r="588" spans="1:23" x14ac:dyDescent="0.3">
      <c r="A588" s="74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72"/>
    </row>
    <row r="589" spans="1:23" x14ac:dyDescent="0.3">
      <c r="A589" s="74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72"/>
    </row>
    <row r="590" spans="1:23" x14ac:dyDescent="0.3">
      <c r="A590" s="74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72"/>
    </row>
    <row r="591" spans="1:23" x14ac:dyDescent="0.3">
      <c r="A591" s="74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72"/>
    </row>
    <row r="592" spans="1:23" x14ac:dyDescent="0.3">
      <c r="A592" s="74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72"/>
    </row>
    <row r="593" spans="1:23" x14ac:dyDescent="0.3">
      <c r="A593" s="74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72"/>
    </row>
    <row r="594" spans="1:23" x14ac:dyDescent="0.3">
      <c r="A594" s="74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72"/>
    </row>
    <row r="595" spans="1:23" x14ac:dyDescent="0.3">
      <c r="A595" s="74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72"/>
    </row>
    <row r="596" spans="1:23" x14ac:dyDescent="0.3">
      <c r="A596" s="74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72"/>
    </row>
    <row r="597" spans="1:23" x14ac:dyDescent="0.3">
      <c r="A597" s="74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72"/>
    </row>
    <row r="598" spans="1:23" x14ac:dyDescent="0.3">
      <c r="A598" s="74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72"/>
    </row>
    <row r="599" spans="1:23" x14ac:dyDescent="0.3">
      <c r="A599" s="74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72"/>
    </row>
    <row r="600" spans="1:23" x14ac:dyDescent="0.3">
      <c r="A600" s="74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72"/>
    </row>
    <row r="601" spans="1:23" x14ac:dyDescent="0.3">
      <c r="A601" s="74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72"/>
    </row>
    <row r="602" spans="1:23" x14ac:dyDescent="0.3">
      <c r="A602" s="74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72"/>
    </row>
    <row r="603" spans="1:23" x14ac:dyDescent="0.3">
      <c r="A603" s="74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72"/>
    </row>
    <row r="604" spans="1:23" x14ac:dyDescent="0.3">
      <c r="A604" s="74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72"/>
    </row>
    <row r="605" spans="1:23" x14ac:dyDescent="0.3">
      <c r="A605" s="74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72"/>
    </row>
    <row r="606" spans="1:23" x14ac:dyDescent="0.3">
      <c r="A606" s="74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72"/>
    </row>
    <row r="607" spans="1:23" x14ac:dyDescent="0.3">
      <c r="A607" s="74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72"/>
    </row>
    <row r="608" spans="1:23" x14ac:dyDescent="0.3">
      <c r="A608" s="74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72"/>
    </row>
    <row r="609" spans="1:23" x14ac:dyDescent="0.3">
      <c r="A609" s="74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72"/>
    </row>
    <row r="610" spans="1:23" x14ac:dyDescent="0.3">
      <c r="A610" s="74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72"/>
    </row>
    <row r="611" spans="1:23" x14ac:dyDescent="0.3">
      <c r="A611" s="74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72"/>
    </row>
    <row r="612" spans="1:23" x14ac:dyDescent="0.3">
      <c r="A612" s="74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72"/>
    </row>
    <row r="613" spans="1:23" x14ac:dyDescent="0.3">
      <c r="A613" s="74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72"/>
    </row>
    <row r="614" spans="1:23" x14ac:dyDescent="0.3">
      <c r="A614" s="74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72"/>
    </row>
    <row r="615" spans="1:23" x14ac:dyDescent="0.3">
      <c r="A615" s="74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72"/>
    </row>
    <row r="616" spans="1:23" x14ac:dyDescent="0.3">
      <c r="A616" s="74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72"/>
    </row>
    <row r="617" spans="1:23" x14ac:dyDescent="0.3">
      <c r="A617" s="74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72"/>
    </row>
    <row r="618" spans="1:23" x14ac:dyDescent="0.3">
      <c r="A618" s="74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72"/>
    </row>
    <row r="619" spans="1:23" x14ac:dyDescent="0.3">
      <c r="A619" s="74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72"/>
    </row>
    <row r="620" spans="1:23" x14ac:dyDescent="0.3">
      <c r="A620" s="74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72"/>
    </row>
    <row r="621" spans="1:23" x14ac:dyDescent="0.3">
      <c r="A621" s="74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72"/>
    </row>
    <row r="622" spans="1:23" x14ac:dyDescent="0.3">
      <c r="A622" s="74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72"/>
    </row>
    <row r="623" spans="1:23" x14ac:dyDescent="0.3">
      <c r="A623" s="74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72"/>
    </row>
    <row r="624" spans="1:23" x14ac:dyDescent="0.3">
      <c r="A624" s="74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72"/>
    </row>
    <row r="625" spans="1:23" x14ac:dyDescent="0.3">
      <c r="A625" s="74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72"/>
    </row>
    <row r="626" spans="1:23" x14ac:dyDescent="0.3">
      <c r="A626" s="74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72"/>
    </row>
    <row r="627" spans="1:23" x14ac:dyDescent="0.3">
      <c r="A627" s="74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72"/>
    </row>
    <row r="628" spans="1:23" x14ac:dyDescent="0.3">
      <c r="A628" s="74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72"/>
    </row>
    <row r="629" spans="1:23" x14ac:dyDescent="0.3">
      <c r="A629" s="74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72"/>
    </row>
    <row r="630" spans="1:23" x14ac:dyDescent="0.3">
      <c r="A630" s="74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72"/>
    </row>
    <row r="631" spans="1:23" x14ac:dyDescent="0.3">
      <c r="A631" s="74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72"/>
    </row>
    <row r="632" spans="1:23" x14ac:dyDescent="0.3">
      <c r="A632" s="74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72"/>
    </row>
    <row r="633" spans="1:23" x14ac:dyDescent="0.3">
      <c r="A633" s="74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72"/>
    </row>
    <row r="634" spans="1:23" x14ac:dyDescent="0.3">
      <c r="A634" s="74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72"/>
    </row>
    <row r="635" spans="1:23" x14ac:dyDescent="0.3">
      <c r="A635" s="74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72"/>
    </row>
    <row r="636" spans="1:23" x14ac:dyDescent="0.3">
      <c r="A636" s="74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72"/>
    </row>
    <row r="637" spans="1:23" x14ac:dyDescent="0.3">
      <c r="A637" s="74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72"/>
    </row>
    <row r="638" spans="1:23" x14ac:dyDescent="0.3">
      <c r="A638" s="74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72"/>
    </row>
    <row r="639" spans="1:23" x14ac:dyDescent="0.3">
      <c r="A639" s="74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72"/>
    </row>
    <row r="640" spans="1:23" x14ac:dyDescent="0.3">
      <c r="A640" s="74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72"/>
    </row>
    <row r="641" spans="1:23" x14ac:dyDescent="0.3">
      <c r="A641" s="74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72"/>
    </row>
    <row r="642" spans="1:23" x14ac:dyDescent="0.3">
      <c r="A642" s="74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72"/>
    </row>
    <row r="643" spans="1:23" x14ac:dyDescent="0.3">
      <c r="A643" s="74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72"/>
    </row>
    <row r="644" spans="1:23" x14ac:dyDescent="0.3">
      <c r="A644" s="74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72"/>
    </row>
    <row r="645" spans="1:23" x14ac:dyDescent="0.3">
      <c r="A645" s="74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72"/>
    </row>
    <row r="646" spans="1:23" x14ac:dyDescent="0.3">
      <c r="A646" s="74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72"/>
    </row>
    <row r="647" spans="1:23" x14ac:dyDescent="0.3">
      <c r="A647" s="74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72"/>
    </row>
    <row r="648" spans="1:23" x14ac:dyDescent="0.3">
      <c r="A648" s="74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72"/>
    </row>
    <row r="649" spans="1:23" x14ac:dyDescent="0.3">
      <c r="A649" s="74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72"/>
    </row>
    <row r="650" spans="1:23" x14ac:dyDescent="0.3">
      <c r="A650" s="74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72"/>
    </row>
    <row r="651" spans="1:23" x14ac:dyDescent="0.3">
      <c r="A651" s="74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72"/>
    </row>
    <row r="652" spans="1:23" x14ac:dyDescent="0.3">
      <c r="A652" s="74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72"/>
    </row>
    <row r="653" spans="1:23" x14ac:dyDescent="0.3">
      <c r="A653" s="74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72"/>
    </row>
    <row r="654" spans="1:23" x14ac:dyDescent="0.3">
      <c r="A654" s="74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72"/>
    </row>
    <row r="655" spans="1:23" x14ac:dyDescent="0.3">
      <c r="A655" s="74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72"/>
    </row>
    <row r="656" spans="1:23" x14ac:dyDescent="0.3">
      <c r="A656" s="74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72"/>
    </row>
    <row r="657" spans="1:23" x14ac:dyDescent="0.3">
      <c r="A657" s="74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72"/>
    </row>
    <row r="658" spans="1:23" x14ac:dyDescent="0.3">
      <c r="A658" s="74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72"/>
    </row>
    <row r="659" spans="1:23" x14ac:dyDescent="0.3">
      <c r="A659" s="74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72"/>
    </row>
    <row r="660" spans="1:23" x14ac:dyDescent="0.3">
      <c r="A660" s="74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72"/>
    </row>
    <row r="661" spans="1:23" x14ac:dyDescent="0.3">
      <c r="A661" s="74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72"/>
    </row>
    <row r="662" spans="1:23" x14ac:dyDescent="0.3">
      <c r="A662" s="74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72"/>
    </row>
    <row r="663" spans="1:23" x14ac:dyDescent="0.3">
      <c r="A663" s="74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72"/>
    </row>
    <row r="664" spans="1:23" x14ac:dyDescent="0.3">
      <c r="A664" s="74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72"/>
    </row>
    <row r="665" spans="1:23" x14ac:dyDescent="0.3">
      <c r="A665" s="74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72"/>
    </row>
    <row r="666" spans="1:23" x14ac:dyDescent="0.3">
      <c r="A666" s="74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72"/>
    </row>
    <row r="667" spans="1:23" x14ac:dyDescent="0.3">
      <c r="A667" s="74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72"/>
    </row>
    <row r="668" spans="1:23" x14ac:dyDescent="0.3">
      <c r="A668" s="74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72"/>
    </row>
    <row r="669" spans="1:23" x14ac:dyDescent="0.3">
      <c r="A669" s="74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72"/>
    </row>
    <row r="670" spans="1:23" x14ac:dyDescent="0.3">
      <c r="A670" s="74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72"/>
    </row>
    <row r="671" spans="1:23" x14ac:dyDescent="0.3">
      <c r="A671" s="74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72"/>
    </row>
    <row r="672" spans="1:23" x14ac:dyDescent="0.3">
      <c r="A672" s="74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72"/>
    </row>
    <row r="673" spans="1:23" x14ac:dyDescent="0.3">
      <c r="A673" s="74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72"/>
    </row>
    <row r="674" spans="1:23" x14ac:dyDescent="0.3">
      <c r="A674" s="74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72"/>
    </row>
    <row r="675" spans="1:23" x14ac:dyDescent="0.3">
      <c r="A675" s="74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72"/>
    </row>
    <row r="676" spans="1:23" x14ac:dyDescent="0.3">
      <c r="A676" s="74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72"/>
    </row>
    <row r="677" spans="1:23" x14ac:dyDescent="0.3">
      <c r="A677" s="74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72"/>
    </row>
    <row r="678" spans="1:23" x14ac:dyDescent="0.3">
      <c r="A678" s="74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72"/>
    </row>
    <row r="679" spans="1:23" x14ac:dyDescent="0.3">
      <c r="A679" s="74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72"/>
    </row>
    <row r="680" spans="1:23" x14ac:dyDescent="0.3">
      <c r="A680" s="74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72"/>
    </row>
    <row r="681" spans="1:23" x14ac:dyDescent="0.3">
      <c r="A681" s="74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72"/>
    </row>
    <row r="682" spans="1:23" x14ac:dyDescent="0.3">
      <c r="A682" s="74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72"/>
    </row>
    <row r="683" spans="1:23" x14ac:dyDescent="0.3">
      <c r="A683" s="74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72"/>
    </row>
    <row r="684" spans="1:23" x14ac:dyDescent="0.3">
      <c r="A684" s="74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72"/>
    </row>
    <row r="685" spans="1:23" x14ac:dyDescent="0.3">
      <c r="A685" s="74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72"/>
    </row>
    <row r="686" spans="1:23" x14ac:dyDescent="0.3">
      <c r="A686" s="74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72"/>
    </row>
    <row r="687" spans="1:23" x14ac:dyDescent="0.3">
      <c r="A687" s="74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72"/>
    </row>
    <row r="688" spans="1:23" x14ac:dyDescent="0.3">
      <c r="A688" s="74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72"/>
    </row>
    <row r="689" spans="1:23" x14ac:dyDescent="0.3">
      <c r="A689" s="74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72"/>
    </row>
    <row r="690" spans="1:23" x14ac:dyDescent="0.3">
      <c r="A690" s="74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72"/>
    </row>
    <row r="691" spans="1:23" x14ac:dyDescent="0.3">
      <c r="A691" s="74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72"/>
    </row>
    <row r="692" spans="1:23" x14ac:dyDescent="0.3">
      <c r="A692" s="74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72"/>
    </row>
    <row r="693" spans="1:23" x14ac:dyDescent="0.3">
      <c r="A693" s="74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72"/>
    </row>
    <row r="694" spans="1:23" x14ac:dyDescent="0.3">
      <c r="A694" s="74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72"/>
    </row>
    <row r="695" spans="1:23" x14ac:dyDescent="0.3">
      <c r="A695" s="74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72"/>
    </row>
    <row r="696" spans="1:23" x14ac:dyDescent="0.3">
      <c r="A696" s="74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72"/>
    </row>
    <row r="697" spans="1:23" x14ac:dyDescent="0.3">
      <c r="A697" s="74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72"/>
    </row>
    <row r="698" spans="1:23" x14ac:dyDescent="0.3">
      <c r="A698" s="74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72"/>
    </row>
    <row r="699" spans="1:23" x14ac:dyDescent="0.3">
      <c r="A699" s="74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72"/>
    </row>
    <row r="700" spans="1:23" x14ac:dyDescent="0.3">
      <c r="A700" s="74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72"/>
    </row>
    <row r="701" spans="1:23" x14ac:dyDescent="0.3">
      <c r="A701" s="74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72"/>
    </row>
    <row r="702" spans="1:23" x14ac:dyDescent="0.3">
      <c r="A702" s="74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72"/>
    </row>
    <row r="703" spans="1:23" x14ac:dyDescent="0.3">
      <c r="A703" s="74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72"/>
    </row>
    <row r="704" spans="1:23" x14ac:dyDescent="0.3">
      <c r="A704" s="74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72"/>
    </row>
    <row r="705" spans="1:23" x14ac:dyDescent="0.3">
      <c r="A705" s="74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72"/>
    </row>
    <row r="706" spans="1:23" x14ac:dyDescent="0.3">
      <c r="A706" s="74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72"/>
    </row>
    <row r="707" spans="1:23" x14ac:dyDescent="0.3">
      <c r="A707" s="74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72"/>
    </row>
    <row r="708" spans="1:23" x14ac:dyDescent="0.3">
      <c r="A708" s="74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72"/>
    </row>
    <row r="709" spans="1:23" x14ac:dyDescent="0.3">
      <c r="A709" s="74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72"/>
    </row>
    <row r="710" spans="1:23" x14ac:dyDescent="0.3">
      <c r="A710" s="74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72"/>
    </row>
    <row r="711" spans="1:23" x14ac:dyDescent="0.3">
      <c r="A711" s="74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72"/>
    </row>
    <row r="712" spans="1:23" x14ac:dyDescent="0.3">
      <c r="A712" s="74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72"/>
    </row>
    <row r="713" spans="1:23" x14ac:dyDescent="0.3">
      <c r="A713" s="74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72"/>
    </row>
    <row r="714" spans="1:23" x14ac:dyDescent="0.3">
      <c r="A714" s="74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72"/>
    </row>
    <row r="715" spans="1:23" x14ac:dyDescent="0.3">
      <c r="A715" s="74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72"/>
    </row>
    <row r="716" spans="1:23" x14ac:dyDescent="0.3">
      <c r="A716" s="74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72"/>
    </row>
    <row r="717" spans="1:23" x14ac:dyDescent="0.3">
      <c r="A717" s="74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72"/>
    </row>
    <row r="718" spans="1:23" x14ac:dyDescent="0.3">
      <c r="A718" s="74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72"/>
    </row>
    <row r="719" spans="1:23" x14ac:dyDescent="0.3">
      <c r="A719" s="74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72"/>
    </row>
    <row r="720" spans="1:23" x14ac:dyDescent="0.3">
      <c r="A720" s="74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72"/>
    </row>
    <row r="721" spans="1:23" x14ac:dyDescent="0.3">
      <c r="A721" s="74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72"/>
    </row>
    <row r="722" spans="1:23" x14ac:dyDescent="0.3">
      <c r="A722" s="74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72"/>
    </row>
    <row r="723" spans="1:23" x14ac:dyDescent="0.3">
      <c r="A723" s="74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72"/>
    </row>
    <row r="724" spans="1:23" x14ac:dyDescent="0.3">
      <c r="A724" s="74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72"/>
    </row>
    <row r="725" spans="1:23" x14ac:dyDescent="0.3">
      <c r="A725" s="74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72"/>
    </row>
    <row r="726" spans="1:23" x14ac:dyDescent="0.3">
      <c r="A726" s="74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72"/>
    </row>
    <row r="727" spans="1:23" x14ac:dyDescent="0.3">
      <c r="A727" s="74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72"/>
    </row>
    <row r="728" spans="1:23" x14ac:dyDescent="0.3">
      <c r="A728" s="74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72"/>
    </row>
    <row r="729" spans="1:23" x14ac:dyDescent="0.3">
      <c r="A729" s="74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72"/>
    </row>
    <row r="730" spans="1:23" x14ac:dyDescent="0.3">
      <c r="A730" s="74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72"/>
    </row>
    <row r="731" spans="1:23" x14ac:dyDescent="0.3">
      <c r="A731" s="74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72"/>
    </row>
    <row r="732" spans="1:23" x14ac:dyDescent="0.3">
      <c r="A732" s="74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72"/>
    </row>
    <row r="733" spans="1:23" x14ac:dyDescent="0.3">
      <c r="A733" s="74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72"/>
    </row>
    <row r="734" spans="1:23" x14ac:dyDescent="0.3">
      <c r="A734" s="74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72"/>
    </row>
    <row r="735" spans="1:23" x14ac:dyDescent="0.3">
      <c r="A735" s="74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72"/>
    </row>
    <row r="736" spans="1:23" x14ac:dyDescent="0.3">
      <c r="A736" s="74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72"/>
    </row>
    <row r="737" spans="1:23" x14ac:dyDescent="0.3">
      <c r="A737" s="74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72"/>
    </row>
    <row r="738" spans="1:23" x14ac:dyDescent="0.3">
      <c r="A738" s="74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72"/>
    </row>
    <row r="739" spans="1:23" x14ac:dyDescent="0.3">
      <c r="A739" s="74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72"/>
    </row>
    <row r="740" spans="1:23" x14ac:dyDescent="0.3">
      <c r="A740" s="74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72"/>
    </row>
    <row r="741" spans="1:23" x14ac:dyDescent="0.3">
      <c r="A741" s="74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72"/>
    </row>
    <row r="742" spans="1:23" x14ac:dyDescent="0.3">
      <c r="A742" s="74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72"/>
    </row>
    <row r="743" spans="1:23" x14ac:dyDescent="0.3">
      <c r="A743" s="74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72"/>
    </row>
    <row r="744" spans="1:23" x14ac:dyDescent="0.3">
      <c r="A744" s="74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72"/>
    </row>
    <row r="745" spans="1:23" x14ac:dyDescent="0.3">
      <c r="A745" s="74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72"/>
    </row>
    <row r="746" spans="1:23" x14ac:dyDescent="0.3">
      <c r="A746" s="74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72"/>
    </row>
    <row r="747" spans="1:23" x14ac:dyDescent="0.3">
      <c r="A747" s="74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72"/>
    </row>
    <row r="748" spans="1:23" x14ac:dyDescent="0.3">
      <c r="A748" s="74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72"/>
    </row>
    <row r="749" spans="1:23" x14ac:dyDescent="0.3">
      <c r="A749" s="74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72"/>
    </row>
    <row r="750" spans="1:23" x14ac:dyDescent="0.3">
      <c r="A750" s="74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72"/>
    </row>
    <row r="751" spans="1:23" x14ac:dyDescent="0.3">
      <c r="A751" s="74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72"/>
    </row>
    <row r="752" spans="1:23" x14ac:dyDescent="0.3">
      <c r="A752" s="74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72"/>
    </row>
    <row r="753" spans="1:23" x14ac:dyDescent="0.3">
      <c r="A753" s="74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72"/>
    </row>
    <row r="754" spans="1:23" x14ac:dyDescent="0.3">
      <c r="A754" s="74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72"/>
    </row>
    <row r="755" spans="1:23" x14ac:dyDescent="0.3">
      <c r="A755" s="74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72"/>
    </row>
    <row r="756" spans="1:23" x14ac:dyDescent="0.3">
      <c r="A756" s="74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72"/>
    </row>
    <row r="757" spans="1:23" x14ac:dyDescent="0.3">
      <c r="A757" s="74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72"/>
    </row>
    <row r="758" spans="1:23" x14ac:dyDescent="0.3">
      <c r="A758" s="74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72"/>
    </row>
    <row r="759" spans="1:23" x14ac:dyDescent="0.3">
      <c r="A759" s="74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72"/>
    </row>
    <row r="760" spans="1:23" x14ac:dyDescent="0.3">
      <c r="A760" s="74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72"/>
    </row>
    <row r="761" spans="1:23" x14ac:dyDescent="0.3">
      <c r="A761" s="74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72"/>
    </row>
    <row r="762" spans="1:23" x14ac:dyDescent="0.3">
      <c r="A762" s="74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72"/>
    </row>
    <row r="763" spans="1:23" x14ac:dyDescent="0.3">
      <c r="A763" s="74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72"/>
    </row>
    <row r="764" spans="1:23" x14ac:dyDescent="0.3">
      <c r="A764" s="74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72"/>
    </row>
    <row r="765" spans="1:23" x14ac:dyDescent="0.3">
      <c r="A765" s="74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72"/>
    </row>
    <row r="766" spans="1:23" x14ac:dyDescent="0.3">
      <c r="A766" s="74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72"/>
    </row>
    <row r="767" spans="1:23" x14ac:dyDescent="0.3">
      <c r="A767" s="74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72"/>
    </row>
    <row r="768" spans="1:23" x14ac:dyDescent="0.3">
      <c r="A768" s="74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72"/>
    </row>
    <row r="769" spans="1:23" x14ac:dyDescent="0.3">
      <c r="A769" s="74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72"/>
    </row>
    <row r="770" spans="1:23" x14ac:dyDescent="0.3">
      <c r="A770" s="74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72"/>
    </row>
    <row r="771" spans="1:23" x14ac:dyDescent="0.3">
      <c r="A771" s="74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72"/>
    </row>
    <row r="772" spans="1:23" x14ac:dyDescent="0.3">
      <c r="A772" s="74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72"/>
    </row>
    <row r="773" spans="1:23" x14ac:dyDescent="0.3">
      <c r="A773" s="74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72"/>
    </row>
    <row r="774" spans="1:23" x14ac:dyDescent="0.3">
      <c r="A774" s="74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72"/>
    </row>
    <row r="775" spans="1:23" x14ac:dyDescent="0.3">
      <c r="A775" s="74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72"/>
    </row>
    <row r="776" spans="1:23" x14ac:dyDescent="0.3">
      <c r="A776" s="74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72"/>
    </row>
    <row r="777" spans="1:23" x14ac:dyDescent="0.3">
      <c r="A777" s="74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72"/>
    </row>
    <row r="778" spans="1:23" x14ac:dyDescent="0.3">
      <c r="A778" s="74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72"/>
    </row>
    <row r="779" spans="1:23" x14ac:dyDescent="0.3">
      <c r="A779" s="74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72"/>
    </row>
    <row r="780" spans="1:23" x14ac:dyDescent="0.3">
      <c r="A780" s="74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72"/>
    </row>
    <row r="781" spans="1:23" x14ac:dyDescent="0.3">
      <c r="A781" s="74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72"/>
    </row>
    <row r="782" spans="1:23" x14ac:dyDescent="0.3">
      <c r="A782" s="74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72"/>
    </row>
    <row r="783" spans="1:23" x14ac:dyDescent="0.3">
      <c r="A783" s="74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72"/>
    </row>
    <row r="784" spans="1:23" x14ac:dyDescent="0.3">
      <c r="A784" s="74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72"/>
    </row>
    <row r="785" spans="1:23" x14ac:dyDescent="0.3">
      <c r="A785" s="74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72"/>
    </row>
    <row r="786" spans="1:23" x14ac:dyDescent="0.3">
      <c r="A786" s="74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72"/>
    </row>
    <row r="787" spans="1:23" x14ac:dyDescent="0.3">
      <c r="A787" s="74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72"/>
    </row>
    <row r="788" spans="1:23" x14ac:dyDescent="0.3">
      <c r="A788" s="75"/>
      <c r="B788" s="76"/>
      <c r="C788" s="76"/>
      <c r="D788" s="76"/>
      <c r="E788" s="76"/>
      <c r="F788" s="76"/>
      <c r="G788" s="76"/>
      <c r="H788" s="76"/>
      <c r="I788" s="76"/>
      <c r="J788" s="76"/>
      <c r="K788" s="76"/>
      <c r="L788" s="76"/>
      <c r="M788" s="76"/>
      <c r="N788" s="76"/>
      <c r="O788" s="76"/>
      <c r="P788" s="76"/>
      <c r="Q788" s="76"/>
      <c r="R788" s="76"/>
      <c r="S788" s="76"/>
      <c r="T788" s="76"/>
      <c r="U788" s="76"/>
      <c r="V788" s="76"/>
      <c r="W788" s="77"/>
    </row>
    <row r="789" spans="1:23" x14ac:dyDescent="0.3">
      <c r="A789" s="75"/>
      <c r="B789" s="76"/>
      <c r="C789" s="76"/>
      <c r="D789" s="76"/>
      <c r="E789" s="76"/>
      <c r="F789" s="76"/>
      <c r="G789" s="76"/>
      <c r="H789" s="76"/>
      <c r="I789" s="76"/>
      <c r="J789" s="76"/>
      <c r="K789" s="76"/>
      <c r="L789" s="76"/>
      <c r="M789" s="76"/>
      <c r="N789" s="76"/>
      <c r="O789" s="76"/>
      <c r="P789" s="76"/>
      <c r="Q789" s="76"/>
      <c r="R789" s="76"/>
      <c r="S789" s="76"/>
      <c r="T789" s="76"/>
      <c r="U789" s="76"/>
      <c r="V789" s="76"/>
      <c r="W789" s="77"/>
    </row>
    <row r="790" spans="1:23" x14ac:dyDescent="0.3">
      <c r="A790" s="75"/>
      <c r="B790" s="76"/>
      <c r="C790" s="76"/>
      <c r="D790" s="76"/>
      <c r="E790" s="76"/>
      <c r="F790" s="76"/>
      <c r="G790" s="76"/>
      <c r="H790" s="76"/>
      <c r="I790" s="76"/>
      <c r="J790" s="76"/>
      <c r="K790" s="76"/>
      <c r="L790" s="76"/>
      <c r="M790" s="76"/>
      <c r="N790" s="76"/>
      <c r="O790" s="76"/>
      <c r="P790" s="76"/>
      <c r="Q790" s="76"/>
      <c r="R790" s="76"/>
      <c r="S790" s="76"/>
      <c r="T790" s="76"/>
      <c r="U790" s="76"/>
      <c r="V790" s="76"/>
      <c r="W790" s="77"/>
    </row>
    <row r="791" spans="1:23" x14ac:dyDescent="0.3">
      <c r="A791" s="75"/>
      <c r="B791" s="76"/>
      <c r="C791" s="76"/>
      <c r="D791" s="76"/>
      <c r="E791" s="76"/>
      <c r="F791" s="76"/>
      <c r="G791" s="76"/>
      <c r="H791" s="76"/>
      <c r="I791" s="76"/>
      <c r="J791" s="76"/>
      <c r="K791" s="76"/>
      <c r="L791" s="76"/>
      <c r="M791" s="76"/>
      <c r="N791" s="76"/>
      <c r="O791" s="76"/>
      <c r="P791" s="76"/>
      <c r="Q791" s="76"/>
      <c r="R791" s="76"/>
      <c r="S791" s="76"/>
      <c r="T791" s="76"/>
      <c r="U791" s="76"/>
      <c r="V791" s="76"/>
      <c r="W791" s="77"/>
    </row>
    <row r="792" spans="1:23" x14ac:dyDescent="0.3">
      <c r="A792" s="75"/>
      <c r="B792" s="76"/>
      <c r="C792" s="76"/>
      <c r="D792" s="76"/>
      <c r="E792" s="76"/>
      <c r="F792" s="76"/>
      <c r="G792" s="76"/>
      <c r="H792" s="76"/>
      <c r="I792" s="76"/>
      <c r="J792" s="76"/>
      <c r="K792" s="76"/>
      <c r="L792" s="76"/>
      <c r="M792" s="76"/>
      <c r="N792" s="76"/>
      <c r="O792" s="76"/>
      <c r="P792" s="76"/>
      <c r="Q792" s="76"/>
      <c r="R792" s="76"/>
      <c r="S792" s="76"/>
      <c r="T792" s="76"/>
      <c r="U792" s="76"/>
      <c r="V792" s="76"/>
      <c r="W792" s="77"/>
    </row>
    <row r="793" spans="1:23" x14ac:dyDescent="0.3">
      <c r="A793" s="75"/>
      <c r="B793" s="76"/>
      <c r="C793" s="76"/>
      <c r="D793" s="76"/>
      <c r="E793" s="76"/>
      <c r="F793" s="76"/>
      <c r="G793" s="76"/>
      <c r="H793" s="76"/>
      <c r="I793" s="76"/>
      <c r="J793" s="76"/>
      <c r="K793" s="76"/>
      <c r="L793" s="76"/>
      <c r="M793" s="76"/>
      <c r="N793" s="76"/>
      <c r="O793" s="76"/>
      <c r="P793" s="76"/>
      <c r="Q793" s="76"/>
      <c r="R793" s="76"/>
      <c r="S793" s="76"/>
      <c r="T793" s="76"/>
      <c r="U793" s="76"/>
      <c r="V793" s="76"/>
      <c r="W793" s="77"/>
    </row>
    <row r="794" spans="1:23" x14ac:dyDescent="0.3">
      <c r="A794" s="75"/>
      <c r="B794" s="76"/>
      <c r="C794" s="76"/>
      <c r="D794" s="76"/>
      <c r="E794" s="76"/>
      <c r="F794" s="76"/>
      <c r="G794" s="76"/>
      <c r="H794" s="76"/>
      <c r="I794" s="76"/>
      <c r="J794" s="76"/>
      <c r="K794" s="76"/>
      <c r="L794" s="76"/>
      <c r="M794" s="76"/>
      <c r="N794" s="76"/>
      <c r="O794" s="76"/>
      <c r="P794" s="76"/>
      <c r="Q794" s="76"/>
      <c r="R794" s="76"/>
      <c r="S794" s="76"/>
      <c r="T794" s="76"/>
      <c r="U794" s="76"/>
      <c r="V794" s="76"/>
      <c r="W794" s="77"/>
    </row>
    <row r="795" spans="1:23" x14ac:dyDescent="0.3">
      <c r="A795" s="75"/>
      <c r="B795" s="76"/>
      <c r="C795" s="76"/>
      <c r="D795" s="76"/>
      <c r="E795" s="76"/>
      <c r="F795" s="76"/>
      <c r="G795" s="76"/>
      <c r="H795" s="76"/>
      <c r="I795" s="76"/>
      <c r="J795" s="76"/>
      <c r="K795" s="76"/>
      <c r="L795" s="76"/>
      <c r="M795" s="76"/>
      <c r="N795" s="76"/>
      <c r="O795" s="76"/>
      <c r="P795" s="76"/>
      <c r="Q795" s="76"/>
      <c r="R795" s="76"/>
      <c r="S795" s="76"/>
      <c r="T795" s="76"/>
      <c r="U795" s="76"/>
      <c r="V795" s="76"/>
      <c r="W795" s="77"/>
    </row>
    <row r="796" spans="1:23" x14ac:dyDescent="0.3">
      <c r="A796" s="75"/>
      <c r="B796" s="76"/>
      <c r="C796" s="76"/>
      <c r="D796" s="76"/>
      <c r="E796" s="76"/>
      <c r="F796" s="76"/>
      <c r="G796" s="76"/>
      <c r="H796" s="76"/>
      <c r="I796" s="76"/>
      <c r="J796" s="76"/>
      <c r="K796" s="76"/>
      <c r="L796" s="76"/>
      <c r="M796" s="76"/>
      <c r="N796" s="76"/>
      <c r="O796" s="76"/>
      <c r="P796" s="76"/>
      <c r="Q796" s="76"/>
      <c r="R796" s="76"/>
      <c r="S796" s="76"/>
      <c r="T796" s="76"/>
      <c r="U796" s="76"/>
      <c r="V796" s="76"/>
      <c r="W796" s="77"/>
    </row>
    <row r="797" spans="1:23" x14ac:dyDescent="0.3">
      <c r="A797" s="75"/>
      <c r="B797" s="76"/>
      <c r="C797" s="76"/>
      <c r="D797" s="76"/>
      <c r="E797" s="76"/>
      <c r="F797" s="76"/>
      <c r="G797" s="76"/>
      <c r="H797" s="76"/>
      <c r="I797" s="76"/>
      <c r="J797" s="76"/>
      <c r="K797" s="76"/>
      <c r="L797" s="76"/>
      <c r="M797" s="76"/>
      <c r="N797" s="76"/>
      <c r="O797" s="76"/>
      <c r="P797" s="76"/>
      <c r="Q797" s="76"/>
      <c r="R797" s="76"/>
      <c r="S797" s="76"/>
      <c r="T797" s="76"/>
      <c r="U797" s="76"/>
      <c r="V797" s="76"/>
      <c r="W797" s="77"/>
    </row>
    <row r="798" spans="1:23" x14ac:dyDescent="0.3">
      <c r="A798" s="75"/>
      <c r="B798" s="76"/>
      <c r="C798" s="76"/>
      <c r="D798" s="76"/>
      <c r="E798" s="76"/>
      <c r="F798" s="76"/>
      <c r="G798" s="76"/>
      <c r="H798" s="76"/>
      <c r="I798" s="76"/>
      <c r="J798" s="76"/>
      <c r="K798" s="76"/>
      <c r="L798" s="76"/>
      <c r="M798" s="76"/>
      <c r="N798" s="76"/>
      <c r="O798" s="76"/>
      <c r="P798" s="76"/>
      <c r="Q798" s="76"/>
      <c r="R798" s="76"/>
      <c r="S798" s="76"/>
      <c r="T798" s="76"/>
      <c r="U798" s="76"/>
      <c r="V798" s="76"/>
      <c r="W798" s="77"/>
    </row>
    <row r="799" spans="1:23" x14ac:dyDescent="0.3">
      <c r="A799" s="75"/>
      <c r="B799" s="76"/>
      <c r="C799" s="76"/>
      <c r="D799" s="76"/>
      <c r="E799" s="76"/>
      <c r="F799" s="76"/>
      <c r="G799" s="76"/>
      <c r="H799" s="76"/>
      <c r="I799" s="76"/>
      <c r="J799" s="76"/>
      <c r="K799" s="76"/>
      <c r="L799" s="76"/>
      <c r="M799" s="76"/>
      <c r="N799" s="76"/>
      <c r="O799" s="76"/>
      <c r="P799" s="76"/>
      <c r="Q799" s="76"/>
      <c r="R799" s="76"/>
      <c r="S799" s="76"/>
      <c r="T799" s="76"/>
      <c r="U799" s="76"/>
      <c r="V799" s="76"/>
      <c r="W799" s="77"/>
    </row>
    <row r="800" spans="1:23" x14ac:dyDescent="0.3">
      <c r="A800" s="75"/>
      <c r="B800" s="76"/>
      <c r="C800" s="76"/>
      <c r="D800" s="76"/>
      <c r="E800" s="76"/>
      <c r="F800" s="76"/>
      <c r="G800" s="76"/>
      <c r="H800" s="76"/>
      <c r="I800" s="76"/>
      <c r="J800" s="76"/>
      <c r="K800" s="76"/>
      <c r="L800" s="76"/>
      <c r="M800" s="76"/>
      <c r="N800" s="76"/>
      <c r="O800" s="76"/>
      <c r="P800" s="76"/>
      <c r="Q800" s="76"/>
      <c r="R800" s="76"/>
      <c r="S800" s="76"/>
      <c r="T800" s="76"/>
      <c r="U800" s="76"/>
      <c r="V800" s="76"/>
      <c r="W800" s="77"/>
    </row>
    <row r="801" spans="1:23" x14ac:dyDescent="0.3">
      <c r="A801" s="75"/>
      <c r="B801" s="76"/>
      <c r="C801" s="76"/>
      <c r="D801" s="76"/>
      <c r="E801" s="76"/>
      <c r="F801" s="76"/>
      <c r="G801" s="76"/>
      <c r="H801" s="76"/>
      <c r="I801" s="76"/>
      <c r="J801" s="76"/>
      <c r="K801" s="76"/>
      <c r="L801" s="76"/>
      <c r="M801" s="76"/>
      <c r="N801" s="76"/>
      <c r="O801" s="76"/>
      <c r="P801" s="76"/>
      <c r="Q801" s="76"/>
      <c r="R801" s="76"/>
      <c r="S801" s="76"/>
      <c r="T801" s="76"/>
      <c r="U801" s="76"/>
      <c r="V801" s="76"/>
      <c r="W801" s="77"/>
    </row>
    <row r="802" spans="1:23" x14ac:dyDescent="0.3">
      <c r="A802" s="75"/>
      <c r="B802" s="76"/>
      <c r="C802" s="76"/>
      <c r="D802" s="76"/>
      <c r="E802" s="76"/>
      <c r="F802" s="76"/>
      <c r="G802" s="76"/>
      <c r="H802" s="76"/>
      <c r="I802" s="76"/>
      <c r="J802" s="76"/>
      <c r="K802" s="76"/>
      <c r="L802" s="76"/>
      <c r="M802" s="76"/>
      <c r="N802" s="76"/>
      <c r="O802" s="76"/>
      <c r="P802" s="76"/>
      <c r="Q802" s="76"/>
      <c r="R802" s="76"/>
      <c r="S802" s="76"/>
      <c r="T802" s="76"/>
      <c r="U802" s="76"/>
      <c r="V802" s="76"/>
      <c r="W802" s="77"/>
    </row>
    <row r="803" spans="1:23" x14ac:dyDescent="0.3">
      <c r="A803" s="75"/>
      <c r="B803" s="76"/>
      <c r="C803" s="76"/>
      <c r="D803" s="76"/>
      <c r="E803" s="76"/>
      <c r="F803" s="76"/>
      <c r="G803" s="76"/>
      <c r="H803" s="76"/>
      <c r="I803" s="76"/>
      <c r="J803" s="76"/>
      <c r="K803" s="76"/>
      <c r="L803" s="76"/>
      <c r="M803" s="76"/>
      <c r="N803" s="76"/>
      <c r="O803" s="76"/>
      <c r="P803" s="76"/>
      <c r="Q803" s="76"/>
      <c r="R803" s="76"/>
      <c r="S803" s="76"/>
      <c r="T803" s="76"/>
      <c r="U803" s="76"/>
      <c r="V803" s="76"/>
      <c r="W803" s="77"/>
    </row>
    <row r="804" spans="1:23" x14ac:dyDescent="0.3">
      <c r="A804" s="75"/>
      <c r="B804" s="76"/>
      <c r="C804" s="76"/>
      <c r="D804" s="76"/>
      <c r="E804" s="76"/>
      <c r="F804" s="76"/>
      <c r="G804" s="76"/>
      <c r="H804" s="76"/>
      <c r="I804" s="76"/>
      <c r="J804" s="76"/>
      <c r="K804" s="76"/>
      <c r="L804" s="76"/>
      <c r="M804" s="76"/>
      <c r="N804" s="76"/>
      <c r="O804" s="76"/>
      <c r="P804" s="76"/>
      <c r="Q804" s="76"/>
      <c r="R804" s="76"/>
      <c r="S804" s="76"/>
      <c r="T804" s="76"/>
      <c r="U804" s="76"/>
      <c r="V804" s="76"/>
      <c r="W804" s="77"/>
    </row>
    <row r="805" spans="1:23" x14ac:dyDescent="0.3">
      <c r="A805" s="75"/>
      <c r="B805" s="76"/>
      <c r="C805" s="76"/>
      <c r="D805" s="76"/>
      <c r="E805" s="76"/>
      <c r="F805" s="76"/>
      <c r="G805" s="76"/>
      <c r="H805" s="76"/>
      <c r="I805" s="76"/>
      <c r="J805" s="76"/>
      <c r="K805" s="76"/>
      <c r="L805" s="76"/>
      <c r="M805" s="76"/>
      <c r="N805" s="76"/>
      <c r="O805" s="76"/>
      <c r="P805" s="76"/>
      <c r="Q805" s="76"/>
      <c r="R805" s="76"/>
      <c r="S805" s="76"/>
      <c r="T805" s="76"/>
      <c r="U805" s="76"/>
      <c r="V805" s="76"/>
      <c r="W805" s="77"/>
    </row>
    <row r="806" spans="1:23" x14ac:dyDescent="0.3">
      <c r="A806" s="75"/>
      <c r="B806" s="76"/>
      <c r="C806" s="76"/>
      <c r="D806" s="76"/>
      <c r="E806" s="76"/>
      <c r="F806" s="76"/>
      <c r="G806" s="76"/>
      <c r="H806" s="76"/>
      <c r="I806" s="76"/>
      <c r="J806" s="76"/>
      <c r="K806" s="76"/>
      <c r="L806" s="76"/>
      <c r="M806" s="76"/>
      <c r="N806" s="76"/>
      <c r="O806" s="76"/>
      <c r="P806" s="76"/>
      <c r="Q806" s="76"/>
      <c r="R806" s="76"/>
      <c r="S806" s="76"/>
      <c r="T806" s="76"/>
      <c r="U806" s="76"/>
      <c r="V806" s="76"/>
      <c r="W806" s="77"/>
    </row>
    <row r="807" spans="1:23" x14ac:dyDescent="0.3">
      <c r="A807" s="75"/>
      <c r="B807" s="76"/>
      <c r="C807" s="76"/>
      <c r="D807" s="76"/>
      <c r="E807" s="76"/>
      <c r="F807" s="76"/>
      <c r="G807" s="76"/>
      <c r="H807" s="76"/>
      <c r="I807" s="76"/>
      <c r="J807" s="76"/>
      <c r="K807" s="76"/>
      <c r="L807" s="76"/>
      <c r="M807" s="76"/>
      <c r="N807" s="76"/>
      <c r="O807" s="76"/>
      <c r="P807" s="76"/>
      <c r="Q807" s="76"/>
      <c r="R807" s="76"/>
      <c r="S807" s="76"/>
      <c r="T807" s="76"/>
      <c r="U807" s="76"/>
      <c r="V807" s="76"/>
      <c r="W807" s="77"/>
    </row>
    <row r="808" spans="1:23" x14ac:dyDescent="0.3">
      <c r="A808" s="75"/>
      <c r="B808" s="76"/>
      <c r="C808" s="76"/>
      <c r="D808" s="76"/>
      <c r="E808" s="76"/>
      <c r="F808" s="76"/>
      <c r="G808" s="76"/>
      <c r="H808" s="76"/>
      <c r="I808" s="76"/>
      <c r="J808" s="76"/>
      <c r="K808" s="76"/>
      <c r="L808" s="76"/>
      <c r="M808" s="76"/>
      <c r="N808" s="76"/>
      <c r="O808" s="76"/>
      <c r="P808" s="76"/>
      <c r="Q808" s="76"/>
      <c r="R808" s="76"/>
      <c r="S808" s="76"/>
      <c r="T808" s="76"/>
      <c r="U808" s="76"/>
      <c r="V808" s="76"/>
      <c r="W808" s="77"/>
    </row>
    <row r="809" spans="1:23" x14ac:dyDescent="0.3">
      <c r="A809" s="75"/>
      <c r="B809" s="76"/>
      <c r="C809" s="76"/>
      <c r="D809" s="76"/>
      <c r="E809" s="76"/>
      <c r="F809" s="76"/>
      <c r="G809" s="76"/>
      <c r="H809" s="76"/>
      <c r="I809" s="76"/>
      <c r="J809" s="76"/>
      <c r="K809" s="76"/>
      <c r="L809" s="76"/>
      <c r="M809" s="76"/>
      <c r="N809" s="76"/>
      <c r="O809" s="76"/>
      <c r="P809" s="76"/>
      <c r="Q809" s="76"/>
      <c r="R809" s="76"/>
      <c r="S809" s="76"/>
      <c r="T809" s="76"/>
      <c r="U809" s="76"/>
      <c r="V809" s="76"/>
      <c r="W809" s="77"/>
    </row>
    <row r="810" spans="1:23" x14ac:dyDescent="0.3">
      <c r="A810" s="75"/>
      <c r="B810" s="76"/>
      <c r="C810" s="76"/>
      <c r="D810" s="76"/>
      <c r="E810" s="76"/>
      <c r="F810" s="76"/>
      <c r="G810" s="76"/>
      <c r="H810" s="76"/>
      <c r="I810" s="76"/>
      <c r="J810" s="76"/>
      <c r="K810" s="76"/>
      <c r="L810" s="76"/>
      <c r="M810" s="76"/>
      <c r="N810" s="76"/>
      <c r="O810" s="76"/>
      <c r="P810" s="76"/>
      <c r="Q810" s="76"/>
      <c r="R810" s="76"/>
      <c r="S810" s="76"/>
      <c r="T810" s="76"/>
      <c r="U810" s="76"/>
      <c r="V810" s="76"/>
      <c r="W810" s="77"/>
    </row>
    <row r="811" spans="1:23" x14ac:dyDescent="0.3">
      <c r="A811" s="75"/>
      <c r="B811" s="76"/>
      <c r="C811" s="76"/>
      <c r="D811" s="76"/>
      <c r="E811" s="76"/>
      <c r="F811" s="76"/>
      <c r="G811" s="76"/>
      <c r="H811" s="76"/>
      <c r="I811" s="76"/>
      <c r="J811" s="76"/>
      <c r="K811" s="76"/>
      <c r="L811" s="76"/>
      <c r="M811" s="76"/>
      <c r="N811" s="76"/>
      <c r="O811" s="76"/>
      <c r="P811" s="76"/>
      <c r="Q811" s="76"/>
      <c r="R811" s="76"/>
      <c r="S811" s="76"/>
      <c r="T811" s="76"/>
      <c r="U811" s="76"/>
      <c r="V811" s="76"/>
      <c r="W811" s="77"/>
    </row>
    <row r="812" spans="1:23" x14ac:dyDescent="0.3">
      <c r="A812" s="75"/>
      <c r="B812" s="76"/>
      <c r="C812" s="76"/>
      <c r="D812" s="76"/>
      <c r="E812" s="76"/>
      <c r="F812" s="76"/>
      <c r="G812" s="76"/>
      <c r="H812" s="76"/>
      <c r="I812" s="76"/>
      <c r="J812" s="76"/>
      <c r="K812" s="76"/>
      <c r="L812" s="76"/>
      <c r="M812" s="76"/>
      <c r="N812" s="76"/>
      <c r="O812" s="76"/>
      <c r="P812" s="76"/>
      <c r="Q812" s="76"/>
      <c r="R812" s="76"/>
      <c r="S812" s="76"/>
      <c r="T812" s="76"/>
      <c r="U812" s="76"/>
      <c r="V812" s="76"/>
      <c r="W812" s="77"/>
    </row>
    <row r="813" spans="1:23" x14ac:dyDescent="0.3">
      <c r="A813" s="75"/>
      <c r="B813" s="76"/>
      <c r="C813" s="76"/>
      <c r="D813" s="76"/>
      <c r="E813" s="76"/>
      <c r="F813" s="76"/>
      <c r="G813" s="76"/>
      <c r="H813" s="76"/>
      <c r="I813" s="76"/>
      <c r="J813" s="76"/>
      <c r="K813" s="76"/>
      <c r="L813" s="76"/>
      <c r="M813" s="76"/>
      <c r="N813" s="76"/>
      <c r="O813" s="76"/>
      <c r="P813" s="76"/>
      <c r="Q813" s="76"/>
      <c r="R813" s="76"/>
      <c r="S813" s="76"/>
      <c r="T813" s="76"/>
      <c r="U813" s="76"/>
      <c r="V813" s="76"/>
      <c r="W813" s="77"/>
    </row>
    <row r="814" spans="1:23" x14ac:dyDescent="0.3">
      <c r="A814" s="75"/>
      <c r="B814" s="76"/>
      <c r="C814" s="76"/>
      <c r="D814" s="76"/>
      <c r="E814" s="76"/>
      <c r="F814" s="76"/>
      <c r="G814" s="76"/>
      <c r="H814" s="76"/>
      <c r="I814" s="76"/>
      <c r="J814" s="76"/>
      <c r="K814" s="76"/>
      <c r="L814" s="76"/>
      <c r="M814" s="76"/>
      <c r="N814" s="76"/>
      <c r="O814" s="76"/>
      <c r="P814" s="76"/>
      <c r="Q814" s="76"/>
      <c r="R814" s="76"/>
      <c r="S814" s="76"/>
      <c r="T814" s="76"/>
      <c r="U814" s="76"/>
      <c r="V814" s="76"/>
      <c r="W814" s="77"/>
    </row>
    <row r="815" spans="1:23" x14ac:dyDescent="0.3">
      <c r="A815" s="75"/>
      <c r="B815" s="76"/>
      <c r="C815" s="76"/>
      <c r="D815" s="76"/>
      <c r="E815" s="76"/>
      <c r="F815" s="76"/>
      <c r="G815" s="76"/>
      <c r="H815" s="76"/>
      <c r="I815" s="76"/>
      <c r="J815" s="76"/>
      <c r="K815" s="76"/>
      <c r="L815" s="76"/>
      <c r="M815" s="76"/>
      <c r="N815" s="76"/>
      <c r="O815" s="76"/>
      <c r="P815" s="76"/>
      <c r="Q815" s="76"/>
      <c r="R815" s="76"/>
      <c r="S815" s="76"/>
      <c r="T815" s="76"/>
      <c r="U815" s="76"/>
      <c r="V815" s="76"/>
      <c r="W815" s="77"/>
    </row>
    <row r="816" spans="1:23" x14ac:dyDescent="0.3">
      <c r="A816" s="75"/>
      <c r="B816" s="76"/>
      <c r="C816" s="76"/>
      <c r="D816" s="76"/>
      <c r="E816" s="76"/>
      <c r="F816" s="76"/>
      <c r="G816" s="76"/>
      <c r="H816" s="76"/>
      <c r="I816" s="76"/>
      <c r="J816" s="76"/>
      <c r="K816" s="76"/>
      <c r="L816" s="76"/>
      <c r="M816" s="76"/>
      <c r="N816" s="76"/>
      <c r="O816" s="76"/>
      <c r="P816" s="76"/>
      <c r="Q816" s="76"/>
      <c r="R816" s="76"/>
      <c r="S816" s="76"/>
      <c r="T816" s="76"/>
      <c r="U816" s="76"/>
      <c r="V816" s="76"/>
      <c r="W816" s="77"/>
    </row>
    <row r="817" spans="1:23" x14ac:dyDescent="0.3">
      <c r="A817" s="75"/>
      <c r="B817" s="76"/>
      <c r="C817" s="76"/>
      <c r="D817" s="76"/>
      <c r="E817" s="76"/>
      <c r="F817" s="76"/>
      <c r="G817" s="76"/>
      <c r="H817" s="76"/>
      <c r="I817" s="76"/>
      <c r="J817" s="76"/>
      <c r="K817" s="76"/>
      <c r="L817" s="76"/>
      <c r="M817" s="76"/>
      <c r="N817" s="76"/>
      <c r="O817" s="76"/>
      <c r="P817" s="76"/>
      <c r="Q817" s="76"/>
      <c r="R817" s="76"/>
      <c r="S817" s="76"/>
      <c r="T817" s="76"/>
      <c r="U817" s="76"/>
      <c r="V817" s="76"/>
      <c r="W817" s="77"/>
    </row>
    <row r="818" spans="1:23" x14ac:dyDescent="0.3">
      <c r="A818" s="75"/>
      <c r="B818" s="76"/>
      <c r="C818" s="76"/>
      <c r="D818" s="76"/>
      <c r="E818" s="76"/>
      <c r="F818" s="76"/>
      <c r="G818" s="76"/>
      <c r="H818" s="76"/>
      <c r="I818" s="76"/>
      <c r="J818" s="76"/>
      <c r="K818" s="76"/>
      <c r="L818" s="76"/>
      <c r="M818" s="76"/>
      <c r="N818" s="76"/>
      <c r="O818" s="76"/>
      <c r="P818" s="76"/>
      <c r="Q818" s="76"/>
      <c r="R818" s="76"/>
      <c r="S818" s="76"/>
      <c r="T818" s="76"/>
      <c r="U818" s="76"/>
      <c r="V818" s="76"/>
      <c r="W818" s="77"/>
    </row>
    <row r="819" spans="1:23" x14ac:dyDescent="0.3">
      <c r="A819" s="75"/>
      <c r="B819" s="76"/>
      <c r="C819" s="76"/>
      <c r="D819" s="76"/>
      <c r="E819" s="76"/>
      <c r="F819" s="76"/>
      <c r="G819" s="76"/>
      <c r="H819" s="76"/>
      <c r="I819" s="76"/>
      <c r="J819" s="76"/>
      <c r="K819" s="76"/>
      <c r="L819" s="76"/>
      <c r="M819" s="76"/>
      <c r="N819" s="76"/>
      <c r="O819" s="76"/>
      <c r="P819" s="76"/>
      <c r="Q819" s="76"/>
      <c r="R819" s="76"/>
      <c r="S819" s="76"/>
      <c r="T819" s="76"/>
      <c r="U819" s="76"/>
      <c r="V819" s="76"/>
      <c r="W819" s="77"/>
    </row>
    <row r="820" spans="1:23" x14ac:dyDescent="0.3">
      <c r="A820" s="75"/>
      <c r="B820" s="76"/>
      <c r="C820" s="76"/>
      <c r="D820" s="76"/>
      <c r="E820" s="76"/>
      <c r="F820" s="76"/>
      <c r="G820" s="76"/>
      <c r="H820" s="76"/>
      <c r="I820" s="76"/>
      <c r="J820" s="76"/>
      <c r="K820" s="76"/>
      <c r="L820" s="76"/>
      <c r="M820" s="76"/>
      <c r="N820" s="76"/>
      <c r="O820" s="76"/>
      <c r="P820" s="76"/>
      <c r="Q820" s="76"/>
      <c r="R820" s="76"/>
      <c r="S820" s="76"/>
      <c r="T820" s="76"/>
      <c r="U820" s="76"/>
      <c r="V820" s="76"/>
      <c r="W820" s="77"/>
    </row>
    <row r="821" spans="1:23" x14ac:dyDescent="0.3">
      <c r="A821" s="75"/>
      <c r="B821" s="76"/>
      <c r="C821" s="76"/>
      <c r="D821" s="76"/>
      <c r="E821" s="76"/>
      <c r="F821" s="76"/>
      <c r="G821" s="76"/>
      <c r="H821" s="76"/>
      <c r="I821" s="76"/>
      <c r="J821" s="76"/>
      <c r="K821" s="76"/>
      <c r="L821" s="76"/>
      <c r="M821" s="76"/>
      <c r="N821" s="76"/>
      <c r="O821" s="76"/>
      <c r="P821" s="76"/>
      <c r="Q821" s="76"/>
      <c r="R821" s="76"/>
      <c r="S821" s="76"/>
      <c r="T821" s="76"/>
      <c r="U821" s="76"/>
      <c r="V821" s="76"/>
      <c r="W821" s="77"/>
    </row>
    <row r="822" spans="1:23" x14ac:dyDescent="0.3">
      <c r="A822" s="75"/>
      <c r="B822" s="76"/>
      <c r="C822" s="76"/>
      <c r="D822" s="76"/>
      <c r="E822" s="76"/>
      <c r="F822" s="76"/>
      <c r="G822" s="76"/>
      <c r="H822" s="76"/>
      <c r="I822" s="76"/>
      <c r="J822" s="76"/>
      <c r="K822" s="76"/>
      <c r="L822" s="76"/>
      <c r="M822" s="76"/>
      <c r="N822" s="76"/>
      <c r="O822" s="76"/>
      <c r="P822" s="76"/>
      <c r="Q822" s="76"/>
      <c r="R822" s="76"/>
      <c r="S822" s="76"/>
      <c r="T822" s="76"/>
      <c r="U822" s="76"/>
      <c r="V822" s="76"/>
      <c r="W822" s="77"/>
    </row>
    <row r="823" spans="1:23" x14ac:dyDescent="0.3">
      <c r="A823" s="75"/>
      <c r="B823" s="76"/>
      <c r="C823" s="76"/>
      <c r="D823" s="76"/>
      <c r="E823" s="76"/>
      <c r="F823" s="76"/>
      <c r="G823" s="76"/>
      <c r="H823" s="76"/>
      <c r="I823" s="76"/>
      <c r="J823" s="76"/>
      <c r="K823" s="76"/>
      <c r="L823" s="76"/>
      <c r="M823" s="76"/>
      <c r="N823" s="76"/>
      <c r="O823" s="76"/>
      <c r="P823" s="76"/>
      <c r="Q823" s="76"/>
      <c r="R823" s="76"/>
      <c r="S823" s="76"/>
      <c r="T823" s="76"/>
      <c r="U823" s="76"/>
      <c r="V823" s="76"/>
      <c r="W823" s="77"/>
    </row>
    <row r="824" spans="1:23" x14ac:dyDescent="0.3">
      <c r="A824" s="75"/>
      <c r="B824" s="76"/>
      <c r="C824" s="76"/>
      <c r="D824" s="76"/>
      <c r="E824" s="76"/>
      <c r="F824" s="76"/>
      <c r="G824" s="76"/>
      <c r="H824" s="76"/>
      <c r="I824" s="76"/>
      <c r="J824" s="76"/>
      <c r="K824" s="76"/>
      <c r="L824" s="76"/>
      <c r="M824" s="76"/>
      <c r="N824" s="76"/>
      <c r="O824" s="76"/>
      <c r="P824" s="76"/>
      <c r="Q824" s="76"/>
      <c r="R824" s="76"/>
      <c r="S824" s="76"/>
      <c r="T824" s="76"/>
      <c r="U824" s="76"/>
      <c r="V824" s="76"/>
      <c r="W824" s="77"/>
    </row>
    <row r="825" spans="1:23" x14ac:dyDescent="0.3">
      <c r="A825" s="75"/>
      <c r="B825" s="76"/>
      <c r="C825" s="76"/>
      <c r="D825" s="76"/>
      <c r="E825" s="76"/>
      <c r="F825" s="76"/>
      <c r="G825" s="76"/>
      <c r="H825" s="76"/>
      <c r="I825" s="76"/>
      <c r="J825" s="76"/>
      <c r="K825" s="76"/>
      <c r="L825" s="76"/>
      <c r="M825" s="76"/>
      <c r="N825" s="76"/>
      <c r="O825" s="76"/>
      <c r="P825" s="76"/>
      <c r="Q825" s="76"/>
      <c r="R825" s="76"/>
      <c r="S825" s="76"/>
      <c r="T825" s="76"/>
      <c r="U825" s="76"/>
      <c r="V825" s="76"/>
      <c r="W825" s="77"/>
    </row>
    <row r="826" spans="1:23" x14ac:dyDescent="0.3">
      <c r="A826" s="75"/>
      <c r="B826" s="76"/>
      <c r="C826" s="76"/>
      <c r="D826" s="76"/>
      <c r="E826" s="76"/>
      <c r="F826" s="76"/>
      <c r="G826" s="76"/>
      <c r="H826" s="76"/>
      <c r="I826" s="76"/>
      <c r="J826" s="76"/>
      <c r="K826" s="76"/>
      <c r="L826" s="76"/>
      <c r="M826" s="76"/>
      <c r="N826" s="76"/>
      <c r="O826" s="76"/>
      <c r="P826" s="76"/>
      <c r="Q826" s="76"/>
      <c r="R826" s="76"/>
      <c r="S826" s="76"/>
      <c r="T826" s="76"/>
      <c r="U826" s="76"/>
      <c r="V826" s="76"/>
      <c r="W826" s="77"/>
    </row>
    <row r="827" spans="1:23" x14ac:dyDescent="0.3">
      <c r="A827" s="75"/>
      <c r="B827" s="76"/>
      <c r="C827" s="76"/>
      <c r="D827" s="76"/>
      <c r="E827" s="76"/>
      <c r="F827" s="76"/>
      <c r="G827" s="76"/>
      <c r="H827" s="76"/>
      <c r="I827" s="76"/>
      <c r="J827" s="76"/>
      <c r="K827" s="76"/>
      <c r="L827" s="76"/>
      <c r="M827" s="76"/>
      <c r="N827" s="76"/>
      <c r="O827" s="76"/>
      <c r="P827" s="76"/>
      <c r="Q827" s="76"/>
      <c r="R827" s="76"/>
      <c r="S827" s="76"/>
      <c r="T827" s="76"/>
      <c r="U827" s="76"/>
      <c r="V827" s="76"/>
      <c r="W827" s="77"/>
    </row>
    <row r="828" spans="1:23" x14ac:dyDescent="0.3">
      <c r="A828" s="75"/>
      <c r="B828" s="76"/>
      <c r="C828" s="76"/>
      <c r="D828" s="76"/>
      <c r="E828" s="76"/>
      <c r="F828" s="76"/>
      <c r="G828" s="76"/>
      <c r="H828" s="76"/>
      <c r="I828" s="76"/>
      <c r="J828" s="76"/>
      <c r="K828" s="76"/>
      <c r="L828" s="76"/>
      <c r="M828" s="76"/>
      <c r="N828" s="76"/>
      <c r="O828" s="76"/>
      <c r="P828" s="76"/>
      <c r="Q828" s="76"/>
      <c r="R828" s="76"/>
      <c r="S828" s="76"/>
      <c r="T828" s="76"/>
      <c r="U828" s="76"/>
      <c r="V828" s="76"/>
      <c r="W828" s="77"/>
    </row>
    <row r="829" spans="1:23" x14ac:dyDescent="0.3">
      <c r="A829" s="75"/>
      <c r="B829" s="76"/>
      <c r="C829" s="76"/>
      <c r="D829" s="76"/>
      <c r="E829" s="76"/>
      <c r="F829" s="76"/>
      <c r="G829" s="76"/>
      <c r="H829" s="76"/>
      <c r="I829" s="76"/>
      <c r="J829" s="76"/>
      <c r="K829" s="76"/>
      <c r="L829" s="76"/>
      <c r="M829" s="76"/>
      <c r="N829" s="76"/>
      <c r="O829" s="76"/>
      <c r="P829" s="76"/>
      <c r="Q829" s="76"/>
      <c r="R829" s="76"/>
      <c r="S829" s="76"/>
      <c r="T829" s="76"/>
      <c r="U829" s="76"/>
      <c r="V829" s="76"/>
      <c r="W829" s="77"/>
    </row>
    <row r="830" spans="1:23" x14ac:dyDescent="0.3">
      <c r="A830" s="75"/>
      <c r="B830" s="76"/>
      <c r="C830" s="76"/>
      <c r="D830" s="76"/>
      <c r="E830" s="76"/>
      <c r="F830" s="76"/>
      <c r="G830" s="76"/>
      <c r="H830" s="76"/>
      <c r="I830" s="76"/>
      <c r="J830" s="76"/>
      <c r="K830" s="76"/>
      <c r="L830" s="76"/>
      <c r="M830" s="76"/>
      <c r="N830" s="76"/>
      <c r="O830" s="76"/>
      <c r="P830" s="76"/>
      <c r="Q830" s="76"/>
      <c r="R830" s="76"/>
      <c r="S830" s="76"/>
      <c r="T830" s="76"/>
      <c r="U830" s="76"/>
      <c r="V830" s="76"/>
      <c r="W830" s="77"/>
    </row>
    <row r="831" spans="1:23" x14ac:dyDescent="0.3">
      <c r="A831" s="75"/>
      <c r="B831" s="76"/>
      <c r="C831" s="76"/>
      <c r="D831" s="76"/>
      <c r="E831" s="76"/>
      <c r="F831" s="76"/>
      <c r="G831" s="76"/>
      <c r="H831" s="76"/>
      <c r="I831" s="76"/>
      <c r="J831" s="76"/>
      <c r="K831" s="76"/>
      <c r="L831" s="76"/>
      <c r="M831" s="76"/>
      <c r="N831" s="76"/>
      <c r="O831" s="76"/>
      <c r="P831" s="76"/>
      <c r="Q831" s="76"/>
      <c r="R831" s="76"/>
      <c r="S831" s="76"/>
      <c r="T831" s="76"/>
      <c r="U831" s="76"/>
      <c r="V831" s="76"/>
      <c r="W831" s="77"/>
    </row>
    <row r="832" spans="1:23" x14ac:dyDescent="0.3">
      <c r="A832" s="75"/>
      <c r="B832" s="76"/>
      <c r="C832" s="76"/>
      <c r="D832" s="76"/>
      <c r="E832" s="76"/>
      <c r="F832" s="76"/>
      <c r="G832" s="76"/>
      <c r="H832" s="76"/>
      <c r="I832" s="76"/>
      <c r="J832" s="76"/>
      <c r="K832" s="76"/>
      <c r="L832" s="76"/>
      <c r="M832" s="76"/>
      <c r="N832" s="76"/>
      <c r="O832" s="76"/>
      <c r="P832" s="76"/>
      <c r="Q832" s="76"/>
      <c r="R832" s="76"/>
      <c r="S832" s="76"/>
      <c r="T832" s="76"/>
      <c r="U832" s="76"/>
      <c r="V832" s="76"/>
      <c r="W832" s="77"/>
    </row>
    <row r="833" spans="1:23" x14ac:dyDescent="0.3">
      <c r="A833" s="75"/>
      <c r="B833" s="76"/>
      <c r="C833" s="76"/>
      <c r="D833" s="76"/>
      <c r="E833" s="76"/>
      <c r="F833" s="76"/>
      <c r="G833" s="76"/>
      <c r="H833" s="76"/>
      <c r="I833" s="76"/>
      <c r="J833" s="76"/>
      <c r="K833" s="76"/>
      <c r="L833" s="76"/>
      <c r="M833" s="76"/>
      <c r="N833" s="76"/>
      <c r="O833" s="76"/>
      <c r="P833" s="76"/>
      <c r="Q833" s="76"/>
      <c r="R833" s="76"/>
      <c r="S833" s="76"/>
      <c r="T833" s="76"/>
      <c r="U833" s="76"/>
      <c r="V833" s="76"/>
      <c r="W833" s="77"/>
    </row>
    <row r="834" spans="1:23" x14ac:dyDescent="0.3">
      <c r="A834" s="75"/>
      <c r="B834" s="76"/>
      <c r="C834" s="76"/>
      <c r="D834" s="76"/>
      <c r="E834" s="76"/>
      <c r="F834" s="76"/>
      <c r="G834" s="76"/>
      <c r="H834" s="76"/>
      <c r="I834" s="76"/>
      <c r="J834" s="76"/>
      <c r="K834" s="76"/>
      <c r="L834" s="76"/>
      <c r="M834" s="76"/>
      <c r="N834" s="76"/>
      <c r="O834" s="76"/>
      <c r="P834" s="76"/>
      <c r="Q834" s="76"/>
      <c r="R834" s="76"/>
      <c r="S834" s="76"/>
      <c r="T834" s="76"/>
      <c r="U834" s="76"/>
      <c r="V834" s="76"/>
      <c r="W834" s="77"/>
    </row>
    <row r="835" spans="1:23" x14ac:dyDescent="0.3">
      <c r="A835" s="75"/>
      <c r="B835" s="76"/>
      <c r="C835" s="76"/>
      <c r="D835" s="76"/>
      <c r="E835" s="76"/>
      <c r="F835" s="76"/>
      <c r="G835" s="76"/>
      <c r="H835" s="76"/>
      <c r="I835" s="76"/>
      <c r="J835" s="76"/>
      <c r="K835" s="76"/>
      <c r="L835" s="76"/>
      <c r="M835" s="76"/>
      <c r="N835" s="76"/>
      <c r="O835" s="76"/>
      <c r="P835" s="76"/>
      <c r="Q835" s="76"/>
      <c r="R835" s="76"/>
      <c r="S835" s="76"/>
      <c r="T835" s="76"/>
      <c r="U835" s="76"/>
      <c r="V835" s="76"/>
      <c r="W835" s="77"/>
    </row>
    <row r="836" spans="1:23" x14ac:dyDescent="0.3">
      <c r="A836" s="75"/>
      <c r="B836" s="76"/>
      <c r="C836" s="76"/>
      <c r="D836" s="76"/>
      <c r="E836" s="76"/>
      <c r="F836" s="76"/>
      <c r="G836" s="76"/>
      <c r="H836" s="76"/>
      <c r="I836" s="76"/>
      <c r="J836" s="76"/>
      <c r="K836" s="76"/>
      <c r="L836" s="76"/>
      <c r="M836" s="76"/>
      <c r="N836" s="76"/>
      <c r="O836" s="76"/>
      <c r="P836" s="76"/>
      <c r="Q836" s="76"/>
      <c r="R836" s="76"/>
      <c r="S836" s="76"/>
      <c r="T836" s="76"/>
      <c r="U836" s="76"/>
      <c r="V836" s="76"/>
      <c r="W836" s="77"/>
    </row>
    <row r="837" spans="1:23" x14ac:dyDescent="0.3">
      <c r="A837" s="75"/>
      <c r="B837" s="76"/>
      <c r="C837" s="76"/>
      <c r="D837" s="76"/>
      <c r="E837" s="76"/>
      <c r="F837" s="76"/>
      <c r="G837" s="76"/>
      <c r="H837" s="76"/>
      <c r="I837" s="76"/>
      <c r="J837" s="76"/>
      <c r="K837" s="76"/>
      <c r="L837" s="76"/>
      <c r="M837" s="76"/>
      <c r="N837" s="76"/>
      <c r="O837" s="76"/>
      <c r="P837" s="76"/>
      <c r="Q837" s="76"/>
      <c r="R837" s="76"/>
      <c r="S837" s="76"/>
      <c r="T837" s="76"/>
      <c r="U837" s="76"/>
      <c r="V837" s="76"/>
      <c r="W837" s="77"/>
    </row>
    <row r="838" spans="1:23" x14ac:dyDescent="0.3">
      <c r="A838" s="75"/>
      <c r="B838" s="76"/>
      <c r="C838" s="76"/>
      <c r="D838" s="76"/>
      <c r="E838" s="76"/>
      <c r="F838" s="76"/>
      <c r="G838" s="76"/>
      <c r="H838" s="76"/>
      <c r="I838" s="76"/>
      <c r="J838" s="76"/>
      <c r="K838" s="76"/>
      <c r="L838" s="76"/>
      <c r="M838" s="76"/>
      <c r="N838" s="76"/>
      <c r="O838" s="76"/>
      <c r="P838" s="76"/>
      <c r="Q838" s="76"/>
      <c r="R838" s="76"/>
      <c r="S838" s="76"/>
      <c r="T838" s="76"/>
      <c r="U838" s="76"/>
      <c r="V838" s="76"/>
      <c r="W838" s="77"/>
    </row>
    <row r="839" spans="1:23" x14ac:dyDescent="0.3">
      <c r="A839" s="75"/>
      <c r="B839" s="76"/>
      <c r="C839" s="76"/>
      <c r="D839" s="76"/>
      <c r="E839" s="76"/>
      <c r="F839" s="76"/>
      <c r="G839" s="76"/>
      <c r="H839" s="76"/>
      <c r="I839" s="76"/>
      <c r="J839" s="76"/>
      <c r="K839" s="76"/>
      <c r="L839" s="76"/>
      <c r="M839" s="76"/>
      <c r="N839" s="76"/>
      <c r="O839" s="76"/>
      <c r="P839" s="76"/>
      <c r="Q839" s="76"/>
      <c r="R839" s="76"/>
      <c r="S839" s="76"/>
      <c r="T839" s="76"/>
      <c r="U839" s="76"/>
      <c r="V839" s="76"/>
      <c r="W839" s="77"/>
    </row>
    <row r="840" spans="1:23" x14ac:dyDescent="0.3">
      <c r="A840" s="75"/>
      <c r="B840" s="76"/>
      <c r="C840" s="76"/>
      <c r="D840" s="76"/>
      <c r="E840" s="76"/>
      <c r="F840" s="76"/>
      <c r="G840" s="76"/>
      <c r="H840" s="76"/>
      <c r="I840" s="76"/>
      <c r="J840" s="76"/>
      <c r="K840" s="76"/>
      <c r="L840" s="76"/>
      <c r="M840" s="76"/>
      <c r="N840" s="76"/>
      <c r="O840" s="76"/>
      <c r="P840" s="76"/>
      <c r="Q840" s="76"/>
      <c r="R840" s="76"/>
      <c r="S840" s="76"/>
      <c r="T840" s="76"/>
      <c r="U840" s="76"/>
      <c r="V840" s="76"/>
      <c r="W840" s="77"/>
    </row>
    <row r="841" spans="1:23" x14ac:dyDescent="0.3">
      <c r="A841" s="75"/>
      <c r="B841" s="76"/>
      <c r="C841" s="76"/>
      <c r="D841" s="76"/>
      <c r="E841" s="76"/>
      <c r="F841" s="76"/>
      <c r="G841" s="76"/>
      <c r="H841" s="76"/>
      <c r="I841" s="76"/>
      <c r="J841" s="76"/>
      <c r="K841" s="76"/>
      <c r="L841" s="76"/>
      <c r="M841" s="76"/>
      <c r="N841" s="76"/>
      <c r="O841" s="76"/>
      <c r="P841" s="76"/>
      <c r="Q841" s="76"/>
      <c r="R841" s="76"/>
      <c r="S841" s="76"/>
      <c r="T841" s="76"/>
      <c r="U841" s="76"/>
      <c r="V841" s="76"/>
      <c r="W841" s="77"/>
    </row>
    <row r="842" spans="1:23" x14ac:dyDescent="0.3">
      <c r="A842" s="75"/>
      <c r="B842" s="76"/>
      <c r="C842" s="76"/>
      <c r="D842" s="76"/>
      <c r="E842" s="76"/>
      <c r="F842" s="76"/>
      <c r="G842" s="76"/>
      <c r="H842" s="76"/>
      <c r="I842" s="76"/>
      <c r="J842" s="76"/>
      <c r="K842" s="76"/>
      <c r="L842" s="76"/>
      <c r="M842" s="76"/>
      <c r="N842" s="76"/>
      <c r="O842" s="76"/>
      <c r="P842" s="76"/>
      <c r="Q842" s="76"/>
      <c r="R842" s="76"/>
      <c r="S842" s="76"/>
      <c r="T842" s="76"/>
      <c r="U842" s="76"/>
      <c r="V842" s="76"/>
      <c r="W842" s="77"/>
    </row>
    <row r="843" spans="1:23" x14ac:dyDescent="0.3">
      <c r="A843" s="75"/>
      <c r="B843" s="76"/>
      <c r="C843" s="76"/>
      <c r="D843" s="76"/>
      <c r="E843" s="76"/>
      <c r="F843" s="76"/>
      <c r="G843" s="76"/>
      <c r="H843" s="76"/>
      <c r="I843" s="76"/>
      <c r="J843" s="76"/>
      <c r="K843" s="76"/>
      <c r="L843" s="76"/>
      <c r="M843" s="76"/>
      <c r="N843" s="76"/>
      <c r="O843" s="76"/>
      <c r="P843" s="76"/>
      <c r="Q843" s="76"/>
      <c r="R843" s="76"/>
      <c r="S843" s="76"/>
      <c r="T843" s="76"/>
      <c r="U843" s="76"/>
      <c r="V843" s="76"/>
      <c r="W843" s="77"/>
    </row>
    <row r="844" spans="1:23" x14ac:dyDescent="0.3">
      <c r="A844" s="75"/>
      <c r="B844" s="76"/>
      <c r="C844" s="76"/>
      <c r="D844" s="76"/>
      <c r="E844" s="76"/>
      <c r="F844" s="76"/>
      <c r="G844" s="76"/>
      <c r="H844" s="76"/>
      <c r="I844" s="76"/>
      <c r="J844" s="76"/>
      <c r="K844" s="76"/>
      <c r="L844" s="76"/>
      <c r="M844" s="76"/>
      <c r="N844" s="76"/>
      <c r="O844" s="76"/>
      <c r="P844" s="76"/>
      <c r="Q844" s="76"/>
      <c r="R844" s="76"/>
      <c r="S844" s="76"/>
      <c r="T844" s="76"/>
      <c r="U844" s="76"/>
      <c r="V844" s="76"/>
      <c r="W844" s="77"/>
    </row>
    <row r="845" spans="1:23" x14ac:dyDescent="0.3">
      <c r="A845" s="75"/>
      <c r="B845" s="76"/>
      <c r="C845" s="76"/>
      <c r="D845" s="76"/>
      <c r="E845" s="76"/>
      <c r="F845" s="76"/>
      <c r="G845" s="76"/>
      <c r="H845" s="76"/>
      <c r="I845" s="76"/>
      <c r="J845" s="76"/>
      <c r="K845" s="76"/>
      <c r="L845" s="76"/>
      <c r="M845" s="76"/>
      <c r="N845" s="76"/>
      <c r="O845" s="76"/>
      <c r="P845" s="76"/>
      <c r="Q845" s="76"/>
      <c r="R845" s="76"/>
      <c r="S845" s="76"/>
      <c r="T845" s="76"/>
      <c r="U845" s="76"/>
      <c r="V845" s="76"/>
      <c r="W845" s="77"/>
    </row>
    <row r="846" spans="1:23" x14ac:dyDescent="0.3">
      <c r="A846" s="75"/>
      <c r="B846" s="76"/>
      <c r="C846" s="76"/>
      <c r="D846" s="76"/>
      <c r="E846" s="76"/>
      <c r="F846" s="76"/>
      <c r="G846" s="76"/>
      <c r="H846" s="76"/>
      <c r="I846" s="76"/>
      <c r="J846" s="76"/>
      <c r="K846" s="76"/>
      <c r="L846" s="76"/>
      <c r="M846" s="76"/>
      <c r="N846" s="76"/>
      <c r="O846" s="76"/>
      <c r="P846" s="76"/>
      <c r="Q846" s="76"/>
      <c r="R846" s="76"/>
      <c r="S846" s="76"/>
      <c r="T846" s="76"/>
      <c r="U846" s="76"/>
      <c r="V846" s="76"/>
      <c r="W846" s="77"/>
    </row>
    <row r="847" spans="1:23" x14ac:dyDescent="0.3">
      <c r="A847" s="75"/>
      <c r="B847" s="76"/>
      <c r="C847" s="76"/>
      <c r="D847" s="76"/>
      <c r="E847" s="76"/>
      <c r="F847" s="76"/>
      <c r="G847" s="76"/>
      <c r="H847" s="76"/>
      <c r="I847" s="76"/>
      <c r="J847" s="76"/>
      <c r="K847" s="76"/>
      <c r="L847" s="76"/>
      <c r="M847" s="76"/>
      <c r="N847" s="76"/>
      <c r="O847" s="76"/>
      <c r="P847" s="76"/>
      <c r="Q847" s="76"/>
      <c r="R847" s="76"/>
      <c r="S847" s="76"/>
      <c r="T847" s="76"/>
      <c r="U847" s="76"/>
      <c r="V847" s="76"/>
      <c r="W847" s="77"/>
    </row>
    <row r="848" spans="1:23" x14ac:dyDescent="0.3">
      <c r="A848" s="75"/>
      <c r="B848" s="76"/>
      <c r="C848" s="76"/>
      <c r="D848" s="76"/>
      <c r="E848" s="76"/>
      <c r="F848" s="76"/>
      <c r="G848" s="76"/>
      <c r="H848" s="76"/>
      <c r="I848" s="76"/>
      <c r="J848" s="76"/>
      <c r="K848" s="76"/>
      <c r="L848" s="76"/>
      <c r="M848" s="76"/>
      <c r="N848" s="76"/>
      <c r="O848" s="76"/>
      <c r="P848" s="76"/>
      <c r="Q848" s="76"/>
      <c r="R848" s="76"/>
      <c r="S848" s="76"/>
      <c r="T848" s="76"/>
      <c r="U848" s="76"/>
      <c r="V848" s="76"/>
      <c r="W848" s="77"/>
    </row>
    <row r="849" spans="1:23" x14ac:dyDescent="0.3">
      <c r="A849" s="75"/>
      <c r="B849" s="76"/>
      <c r="C849" s="76"/>
      <c r="D849" s="76"/>
      <c r="E849" s="76"/>
      <c r="F849" s="76"/>
      <c r="G849" s="76"/>
      <c r="H849" s="76"/>
      <c r="I849" s="76"/>
      <c r="J849" s="76"/>
      <c r="K849" s="76"/>
      <c r="L849" s="76"/>
      <c r="M849" s="76"/>
      <c r="N849" s="76"/>
      <c r="O849" s="76"/>
      <c r="P849" s="76"/>
      <c r="Q849" s="76"/>
      <c r="R849" s="76"/>
      <c r="S849" s="76"/>
      <c r="T849" s="76"/>
      <c r="U849" s="76"/>
      <c r="V849" s="76"/>
      <c r="W849" s="77"/>
    </row>
    <row r="850" spans="1:23" x14ac:dyDescent="0.3">
      <c r="A850" s="75"/>
      <c r="B850" s="76"/>
      <c r="C850" s="76"/>
      <c r="D850" s="76"/>
      <c r="E850" s="76"/>
      <c r="F850" s="76"/>
      <c r="G850" s="76"/>
      <c r="H850" s="76"/>
      <c r="I850" s="76"/>
      <c r="J850" s="76"/>
      <c r="K850" s="76"/>
      <c r="L850" s="76"/>
      <c r="M850" s="76"/>
      <c r="N850" s="76"/>
      <c r="O850" s="76"/>
      <c r="P850" s="76"/>
      <c r="Q850" s="76"/>
      <c r="R850" s="76"/>
      <c r="S850" s="76"/>
      <c r="T850" s="76"/>
      <c r="U850" s="76"/>
      <c r="V850" s="76"/>
      <c r="W850" s="77"/>
    </row>
    <row r="851" spans="1:23" x14ac:dyDescent="0.3">
      <c r="A851" s="75"/>
      <c r="B851" s="76"/>
      <c r="C851" s="76"/>
      <c r="D851" s="76"/>
      <c r="E851" s="76"/>
      <c r="F851" s="76"/>
      <c r="G851" s="76"/>
      <c r="H851" s="76"/>
      <c r="I851" s="76"/>
      <c r="J851" s="76"/>
      <c r="K851" s="76"/>
      <c r="L851" s="76"/>
      <c r="M851" s="76"/>
      <c r="N851" s="76"/>
      <c r="O851" s="76"/>
      <c r="P851" s="76"/>
      <c r="Q851" s="76"/>
      <c r="R851" s="76"/>
      <c r="S851" s="76"/>
      <c r="T851" s="76"/>
      <c r="U851" s="76"/>
      <c r="V851" s="76"/>
      <c r="W851" s="77"/>
    </row>
    <row r="852" spans="1:23" x14ac:dyDescent="0.3">
      <c r="A852" s="75"/>
      <c r="B852" s="76"/>
      <c r="C852" s="76"/>
      <c r="D852" s="76"/>
      <c r="E852" s="76"/>
      <c r="F852" s="76"/>
      <c r="G852" s="76"/>
      <c r="H852" s="76"/>
      <c r="I852" s="76"/>
      <c r="J852" s="76"/>
      <c r="K852" s="76"/>
      <c r="L852" s="76"/>
      <c r="M852" s="76"/>
      <c r="N852" s="76"/>
      <c r="O852" s="76"/>
      <c r="P852" s="76"/>
      <c r="Q852" s="76"/>
      <c r="R852" s="76"/>
      <c r="S852" s="76"/>
      <c r="T852" s="76"/>
      <c r="U852" s="76"/>
      <c r="V852" s="76"/>
      <c r="W852" s="77"/>
    </row>
    <row r="853" spans="1:23" x14ac:dyDescent="0.3">
      <c r="A853" s="75"/>
      <c r="B853" s="76"/>
      <c r="C853" s="76"/>
      <c r="D853" s="76"/>
      <c r="E853" s="76"/>
      <c r="F853" s="76"/>
      <c r="G853" s="76"/>
      <c r="H853" s="76"/>
      <c r="I853" s="76"/>
      <c r="J853" s="76"/>
      <c r="K853" s="76"/>
      <c r="L853" s="76"/>
      <c r="M853" s="76"/>
      <c r="N853" s="76"/>
      <c r="O853" s="76"/>
      <c r="P853" s="76"/>
      <c r="Q853" s="76"/>
      <c r="R853" s="76"/>
      <c r="S853" s="76"/>
      <c r="T853" s="76"/>
      <c r="U853" s="76"/>
      <c r="V853" s="76"/>
      <c r="W853" s="77"/>
    </row>
    <row r="854" spans="1:23" x14ac:dyDescent="0.3">
      <c r="A854" s="75"/>
      <c r="B854" s="76"/>
      <c r="C854" s="76"/>
      <c r="D854" s="76"/>
      <c r="E854" s="76"/>
      <c r="F854" s="76"/>
      <c r="G854" s="76"/>
      <c r="H854" s="76"/>
      <c r="I854" s="76"/>
      <c r="J854" s="76"/>
      <c r="K854" s="76"/>
      <c r="L854" s="76"/>
      <c r="M854" s="76"/>
      <c r="N854" s="76"/>
      <c r="O854" s="76"/>
      <c r="P854" s="76"/>
      <c r="Q854" s="76"/>
      <c r="R854" s="76"/>
      <c r="S854" s="76"/>
      <c r="T854" s="76"/>
      <c r="U854" s="76"/>
      <c r="V854" s="76"/>
      <c r="W854" s="77"/>
    </row>
    <row r="855" spans="1:23" x14ac:dyDescent="0.3">
      <c r="A855" s="75"/>
      <c r="B855" s="76"/>
      <c r="C855" s="76"/>
      <c r="D855" s="76"/>
      <c r="E855" s="76"/>
      <c r="F855" s="76"/>
      <c r="G855" s="76"/>
      <c r="H855" s="76"/>
      <c r="I855" s="76"/>
      <c r="J855" s="76"/>
      <c r="K855" s="76"/>
      <c r="L855" s="76"/>
      <c r="M855" s="76"/>
      <c r="N855" s="76"/>
      <c r="O855" s="76"/>
      <c r="P855" s="76"/>
      <c r="Q855" s="76"/>
      <c r="R855" s="76"/>
      <c r="S855" s="76"/>
      <c r="T855" s="76"/>
      <c r="U855" s="76"/>
      <c r="V855" s="76"/>
      <c r="W855" s="77"/>
    </row>
    <row r="856" spans="1:23" x14ac:dyDescent="0.3">
      <c r="A856" s="75"/>
      <c r="B856" s="76"/>
      <c r="C856" s="76"/>
      <c r="D856" s="76"/>
      <c r="E856" s="76"/>
      <c r="F856" s="76"/>
      <c r="G856" s="76"/>
      <c r="H856" s="76"/>
      <c r="I856" s="76"/>
      <c r="J856" s="76"/>
      <c r="K856" s="76"/>
      <c r="L856" s="76"/>
      <c r="M856" s="76"/>
      <c r="N856" s="76"/>
      <c r="O856" s="76"/>
      <c r="P856" s="76"/>
      <c r="Q856" s="76"/>
      <c r="R856" s="76"/>
      <c r="S856" s="76"/>
      <c r="T856" s="76"/>
      <c r="U856" s="76"/>
      <c r="V856" s="76"/>
      <c r="W856" s="77"/>
    </row>
    <row r="857" spans="1:23" x14ac:dyDescent="0.3">
      <c r="A857" s="75"/>
      <c r="B857" s="76"/>
      <c r="C857" s="76"/>
      <c r="D857" s="76"/>
      <c r="E857" s="76"/>
      <c r="F857" s="76"/>
      <c r="G857" s="76"/>
      <c r="H857" s="76"/>
      <c r="I857" s="76"/>
      <c r="J857" s="76"/>
      <c r="K857" s="76"/>
      <c r="L857" s="76"/>
      <c r="M857" s="76"/>
      <c r="N857" s="76"/>
      <c r="O857" s="76"/>
      <c r="P857" s="76"/>
      <c r="Q857" s="76"/>
      <c r="R857" s="76"/>
      <c r="S857" s="76"/>
      <c r="T857" s="76"/>
      <c r="U857" s="76"/>
      <c r="V857" s="76"/>
      <c r="W857" s="77"/>
    </row>
    <row r="858" spans="1:23" x14ac:dyDescent="0.3">
      <c r="A858" s="75"/>
      <c r="B858" s="76"/>
      <c r="C858" s="76"/>
      <c r="D858" s="76"/>
      <c r="E858" s="76"/>
      <c r="F858" s="76"/>
      <c r="G858" s="76"/>
      <c r="H858" s="76"/>
      <c r="I858" s="76"/>
      <c r="J858" s="76"/>
      <c r="K858" s="76"/>
      <c r="L858" s="76"/>
      <c r="M858" s="76"/>
      <c r="N858" s="76"/>
      <c r="O858" s="76"/>
      <c r="P858" s="76"/>
      <c r="Q858" s="76"/>
      <c r="R858" s="76"/>
      <c r="S858" s="76"/>
      <c r="T858" s="76"/>
      <c r="U858" s="76"/>
      <c r="V858" s="76"/>
      <c r="W858" s="77"/>
    </row>
    <row r="859" spans="1:23" x14ac:dyDescent="0.3">
      <c r="A859" s="75"/>
      <c r="B859" s="76"/>
      <c r="C859" s="76"/>
      <c r="D859" s="76"/>
      <c r="E859" s="76"/>
      <c r="F859" s="76"/>
      <c r="G859" s="76"/>
      <c r="H859" s="76"/>
      <c r="I859" s="76"/>
      <c r="J859" s="76"/>
      <c r="K859" s="76"/>
      <c r="L859" s="76"/>
      <c r="M859" s="76"/>
      <c r="N859" s="76"/>
      <c r="O859" s="76"/>
      <c r="P859" s="76"/>
      <c r="Q859" s="76"/>
      <c r="R859" s="76"/>
      <c r="S859" s="76"/>
      <c r="T859" s="76"/>
      <c r="U859" s="76"/>
      <c r="V859" s="76"/>
      <c r="W859" s="77"/>
    </row>
    <row r="860" spans="1:23" x14ac:dyDescent="0.3">
      <c r="A860" s="75"/>
      <c r="B860" s="76"/>
      <c r="C860" s="76"/>
      <c r="D860" s="76"/>
      <c r="E860" s="76"/>
      <c r="F860" s="76"/>
      <c r="G860" s="76"/>
      <c r="H860" s="76"/>
      <c r="I860" s="76"/>
      <c r="J860" s="76"/>
      <c r="K860" s="76"/>
      <c r="L860" s="76"/>
      <c r="M860" s="76"/>
      <c r="N860" s="76"/>
      <c r="O860" s="76"/>
      <c r="P860" s="76"/>
      <c r="Q860" s="76"/>
      <c r="R860" s="76"/>
      <c r="S860" s="76"/>
      <c r="T860" s="76"/>
      <c r="U860" s="76"/>
      <c r="V860" s="76"/>
      <c r="W860" s="77"/>
    </row>
    <row r="861" spans="1:23" x14ac:dyDescent="0.3">
      <c r="A861" s="75"/>
      <c r="B861" s="76"/>
      <c r="C861" s="76"/>
      <c r="D861" s="76"/>
      <c r="E861" s="76"/>
      <c r="F861" s="76"/>
      <c r="G861" s="76"/>
      <c r="H861" s="76"/>
      <c r="I861" s="76"/>
      <c r="J861" s="76"/>
      <c r="K861" s="76"/>
      <c r="L861" s="76"/>
      <c r="M861" s="76"/>
      <c r="N861" s="76"/>
      <c r="O861" s="76"/>
      <c r="P861" s="76"/>
      <c r="Q861" s="76"/>
      <c r="R861" s="76"/>
      <c r="S861" s="76"/>
      <c r="T861" s="76"/>
      <c r="U861" s="76"/>
      <c r="V861" s="76"/>
      <c r="W861" s="77"/>
    </row>
    <row r="862" spans="1:23" x14ac:dyDescent="0.3">
      <c r="A862" s="75"/>
      <c r="B862" s="76"/>
      <c r="C862" s="76"/>
      <c r="D862" s="76"/>
      <c r="E862" s="76"/>
      <c r="F862" s="76"/>
      <c r="G862" s="76"/>
      <c r="H862" s="76"/>
      <c r="I862" s="76"/>
      <c r="J862" s="76"/>
      <c r="K862" s="76"/>
      <c r="L862" s="76"/>
      <c r="M862" s="76"/>
      <c r="N862" s="76"/>
      <c r="O862" s="76"/>
      <c r="P862" s="76"/>
      <c r="Q862" s="76"/>
      <c r="R862" s="76"/>
      <c r="S862" s="76"/>
      <c r="T862" s="76"/>
      <c r="U862" s="76"/>
      <c r="V862" s="76"/>
      <c r="W862" s="77"/>
    </row>
    <row r="863" spans="1:23" x14ac:dyDescent="0.3">
      <c r="A863" s="75"/>
      <c r="B863" s="76"/>
      <c r="C863" s="76"/>
      <c r="D863" s="76"/>
      <c r="E863" s="76"/>
      <c r="F863" s="76"/>
      <c r="G863" s="76"/>
      <c r="H863" s="76"/>
      <c r="I863" s="76"/>
      <c r="J863" s="76"/>
      <c r="K863" s="76"/>
      <c r="L863" s="76"/>
      <c r="M863" s="76"/>
      <c r="N863" s="76"/>
      <c r="O863" s="76"/>
      <c r="P863" s="76"/>
      <c r="Q863" s="76"/>
      <c r="R863" s="76"/>
      <c r="S863" s="76"/>
      <c r="T863" s="76"/>
      <c r="U863" s="76"/>
      <c r="V863" s="76"/>
      <c r="W863" s="77"/>
    </row>
    <row r="864" spans="1:23" x14ac:dyDescent="0.3">
      <c r="A864" s="75"/>
      <c r="B864" s="76"/>
      <c r="C864" s="76"/>
      <c r="D864" s="76"/>
      <c r="E864" s="76"/>
      <c r="F864" s="76"/>
      <c r="G864" s="76"/>
      <c r="H864" s="76"/>
      <c r="I864" s="76"/>
      <c r="J864" s="76"/>
      <c r="K864" s="76"/>
      <c r="L864" s="76"/>
      <c r="M864" s="76"/>
      <c r="N864" s="76"/>
      <c r="O864" s="76"/>
      <c r="P864" s="76"/>
      <c r="Q864" s="76"/>
      <c r="R864" s="76"/>
      <c r="S864" s="76"/>
      <c r="T864" s="76"/>
      <c r="U864" s="76"/>
      <c r="V864" s="76"/>
      <c r="W864" s="77"/>
    </row>
    <row r="865" spans="1:23" x14ac:dyDescent="0.3">
      <c r="A865" s="75"/>
      <c r="B865" s="76"/>
      <c r="C865" s="76"/>
      <c r="D865" s="76"/>
      <c r="E865" s="76"/>
      <c r="F865" s="76"/>
      <c r="G865" s="76"/>
      <c r="H865" s="76"/>
      <c r="I865" s="76"/>
      <c r="J865" s="76"/>
      <c r="K865" s="76"/>
      <c r="L865" s="76"/>
      <c r="M865" s="76"/>
      <c r="N865" s="76"/>
      <c r="O865" s="76"/>
      <c r="P865" s="76"/>
      <c r="Q865" s="76"/>
      <c r="R865" s="76"/>
      <c r="S865" s="76"/>
      <c r="T865" s="76"/>
      <c r="U865" s="76"/>
      <c r="V865" s="76"/>
      <c r="W865" s="77"/>
    </row>
    <row r="866" spans="1:23" x14ac:dyDescent="0.3">
      <c r="A866" s="75"/>
      <c r="B866" s="76"/>
      <c r="C866" s="76"/>
      <c r="D866" s="76"/>
      <c r="E866" s="76"/>
      <c r="F866" s="76"/>
      <c r="G866" s="76"/>
      <c r="H866" s="76"/>
      <c r="I866" s="76"/>
      <c r="J866" s="76"/>
      <c r="K866" s="76"/>
      <c r="L866" s="76"/>
      <c r="M866" s="76"/>
      <c r="N866" s="76"/>
      <c r="O866" s="76"/>
      <c r="P866" s="76"/>
      <c r="Q866" s="76"/>
      <c r="R866" s="76"/>
      <c r="S866" s="76"/>
      <c r="T866" s="76"/>
      <c r="U866" s="76"/>
      <c r="V866" s="76"/>
      <c r="W866" s="77"/>
    </row>
    <row r="867" spans="1:23" x14ac:dyDescent="0.3">
      <c r="A867" s="75"/>
      <c r="B867" s="76"/>
      <c r="C867" s="76"/>
      <c r="D867" s="76"/>
      <c r="E867" s="76"/>
      <c r="F867" s="76"/>
      <c r="G867" s="76"/>
      <c r="H867" s="76"/>
      <c r="I867" s="76"/>
      <c r="J867" s="76"/>
      <c r="K867" s="76"/>
      <c r="L867" s="76"/>
      <c r="M867" s="76"/>
      <c r="N867" s="76"/>
      <c r="O867" s="76"/>
      <c r="P867" s="76"/>
      <c r="Q867" s="76"/>
      <c r="R867" s="76"/>
      <c r="S867" s="76"/>
      <c r="T867" s="76"/>
      <c r="U867" s="76"/>
      <c r="V867" s="76"/>
      <c r="W867" s="77"/>
    </row>
    <row r="868" spans="1:23" x14ac:dyDescent="0.3">
      <c r="A868" s="75"/>
      <c r="B868" s="76"/>
      <c r="C868" s="76"/>
      <c r="D868" s="76"/>
      <c r="E868" s="76"/>
      <c r="F868" s="76"/>
      <c r="G868" s="76"/>
      <c r="H868" s="76"/>
      <c r="I868" s="76"/>
      <c r="J868" s="76"/>
      <c r="K868" s="76"/>
      <c r="L868" s="76"/>
      <c r="M868" s="76"/>
      <c r="N868" s="76"/>
      <c r="O868" s="76"/>
      <c r="P868" s="76"/>
      <c r="Q868" s="76"/>
      <c r="R868" s="76"/>
      <c r="S868" s="76"/>
      <c r="T868" s="76"/>
      <c r="U868" s="76"/>
      <c r="V868" s="76"/>
      <c r="W868" s="77"/>
    </row>
    <row r="869" spans="1:23" x14ac:dyDescent="0.3">
      <c r="A869" s="75"/>
      <c r="B869" s="76"/>
      <c r="C869" s="76"/>
      <c r="D869" s="76"/>
      <c r="E869" s="76"/>
      <c r="F869" s="76"/>
      <c r="G869" s="76"/>
      <c r="H869" s="76"/>
      <c r="I869" s="76"/>
      <c r="J869" s="76"/>
      <c r="K869" s="76"/>
      <c r="L869" s="76"/>
      <c r="M869" s="76"/>
      <c r="N869" s="76"/>
      <c r="O869" s="76"/>
      <c r="P869" s="76"/>
      <c r="Q869" s="76"/>
      <c r="R869" s="76"/>
      <c r="S869" s="76"/>
      <c r="T869" s="76"/>
      <c r="U869" s="76"/>
      <c r="V869" s="76"/>
      <c r="W869" s="77"/>
    </row>
    <row r="870" spans="1:23" x14ac:dyDescent="0.3">
      <c r="A870" s="75"/>
      <c r="B870" s="76"/>
      <c r="C870" s="76"/>
      <c r="D870" s="76"/>
      <c r="E870" s="76"/>
      <c r="F870" s="76"/>
      <c r="G870" s="76"/>
      <c r="H870" s="76"/>
      <c r="I870" s="76"/>
      <c r="J870" s="76"/>
      <c r="K870" s="76"/>
      <c r="L870" s="76"/>
      <c r="M870" s="76"/>
      <c r="N870" s="76"/>
      <c r="O870" s="76"/>
      <c r="P870" s="76"/>
      <c r="Q870" s="76"/>
      <c r="R870" s="76"/>
      <c r="S870" s="76"/>
      <c r="T870" s="76"/>
      <c r="U870" s="76"/>
      <c r="V870" s="76"/>
      <c r="W870" s="77"/>
    </row>
    <row r="871" spans="1:23" x14ac:dyDescent="0.3">
      <c r="A871" s="75"/>
      <c r="B871" s="76"/>
      <c r="C871" s="76"/>
      <c r="D871" s="76"/>
      <c r="E871" s="76"/>
      <c r="F871" s="76"/>
      <c r="G871" s="76"/>
      <c r="H871" s="76"/>
      <c r="I871" s="76"/>
      <c r="J871" s="76"/>
      <c r="K871" s="76"/>
      <c r="L871" s="76"/>
      <c r="M871" s="76"/>
      <c r="N871" s="76"/>
      <c r="O871" s="76"/>
      <c r="P871" s="76"/>
      <c r="Q871" s="76"/>
      <c r="R871" s="76"/>
      <c r="S871" s="76"/>
      <c r="T871" s="76"/>
      <c r="U871" s="76"/>
      <c r="V871" s="76"/>
      <c r="W871" s="77"/>
    </row>
    <row r="872" spans="1:23" x14ac:dyDescent="0.3">
      <c r="A872" s="75"/>
      <c r="B872" s="76"/>
      <c r="C872" s="76"/>
      <c r="D872" s="76"/>
      <c r="E872" s="76"/>
      <c r="F872" s="76"/>
      <c r="G872" s="76"/>
      <c r="H872" s="76"/>
      <c r="I872" s="76"/>
      <c r="J872" s="76"/>
      <c r="K872" s="76"/>
      <c r="L872" s="76"/>
      <c r="M872" s="76"/>
      <c r="N872" s="76"/>
      <c r="O872" s="76"/>
      <c r="P872" s="76"/>
      <c r="Q872" s="76"/>
      <c r="R872" s="76"/>
      <c r="S872" s="76"/>
      <c r="T872" s="76"/>
      <c r="U872" s="76"/>
      <c r="V872" s="76"/>
      <c r="W872" s="77"/>
    </row>
    <row r="873" spans="1:23" x14ac:dyDescent="0.3">
      <c r="A873" s="75"/>
      <c r="B873" s="76"/>
      <c r="C873" s="76"/>
      <c r="D873" s="76"/>
      <c r="E873" s="76"/>
      <c r="F873" s="76"/>
      <c r="G873" s="76"/>
      <c r="H873" s="76"/>
      <c r="I873" s="76"/>
      <c r="J873" s="76"/>
      <c r="K873" s="76"/>
      <c r="L873" s="76"/>
      <c r="M873" s="76"/>
      <c r="N873" s="76"/>
      <c r="O873" s="76"/>
      <c r="P873" s="76"/>
      <c r="Q873" s="76"/>
      <c r="R873" s="76"/>
      <c r="S873" s="76"/>
      <c r="T873" s="76"/>
      <c r="U873" s="76"/>
      <c r="V873" s="76"/>
      <c r="W873" s="77"/>
    </row>
    <row r="874" spans="1:23" x14ac:dyDescent="0.3">
      <c r="A874" s="75"/>
      <c r="B874" s="76"/>
      <c r="C874" s="76"/>
      <c r="D874" s="76"/>
      <c r="E874" s="76"/>
      <c r="F874" s="76"/>
      <c r="G874" s="76"/>
      <c r="H874" s="76"/>
      <c r="I874" s="76"/>
      <c r="J874" s="76"/>
      <c r="K874" s="76"/>
      <c r="L874" s="76"/>
      <c r="M874" s="76"/>
      <c r="N874" s="76"/>
      <c r="O874" s="76"/>
      <c r="P874" s="76"/>
      <c r="Q874" s="76"/>
      <c r="R874" s="76"/>
      <c r="S874" s="76"/>
      <c r="T874" s="76"/>
      <c r="U874" s="76"/>
      <c r="V874" s="76"/>
      <c r="W874" s="77"/>
    </row>
    <row r="875" spans="1:23" x14ac:dyDescent="0.3">
      <c r="A875" s="75"/>
      <c r="B875" s="76"/>
      <c r="C875" s="76"/>
      <c r="D875" s="76"/>
      <c r="E875" s="76"/>
      <c r="F875" s="76"/>
      <c r="G875" s="76"/>
      <c r="H875" s="76"/>
      <c r="I875" s="76"/>
      <c r="J875" s="76"/>
      <c r="K875" s="76"/>
      <c r="L875" s="76"/>
      <c r="M875" s="76"/>
      <c r="N875" s="76"/>
      <c r="O875" s="76"/>
      <c r="P875" s="76"/>
      <c r="Q875" s="76"/>
      <c r="R875" s="76"/>
      <c r="S875" s="76"/>
      <c r="T875" s="76"/>
      <c r="U875" s="76"/>
      <c r="V875" s="76"/>
      <c r="W875" s="77"/>
    </row>
    <row r="876" spans="1:23" x14ac:dyDescent="0.3">
      <c r="A876" s="75"/>
      <c r="B876" s="76"/>
      <c r="C876" s="76"/>
      <c r="D876" s="76"/>
      <c r="E876" s="76"/>
      <c r="F876" s="76"/>
      <c r="G876" s="76"/>
      <c r="H876" s="76"/>
      <c r="I876" s="76"/>
      <c r="J876" s="76"/>
      <c r="K876" s="76"/>
      <c r="L876" s="76"/>
      <c r="M876" s="76"/>
      <c r="N876" s="76"/>
      <c r="O876" s="76"/>
      <c r="P876" s="76"/>
      <c r="Q876" s="76"/>
      <c r="R876" s="76"/>
      <c r="S876" s="76"/>
      <c r="T876" s="76"/>
      <c r="U876" s="76"/>
      <c r="V876" s="76"/>
      <c r="W876" s="77"/>
    </row>
    <row r="877" spans="1:23" x14ac:dyDescent="0.3">
      <c r="A877" s="75"/>
      <c r="B877" s="76"/>
      <c r="C877" s="76"/>
      <c r="D877" s="76"/>
      <c r="E877" s="76"/>
      <c r="F877" s="76"/>
      <c r="G877" s="76"/>
      <c r="H877" s="76"/>
      <c r="I877" s="76"/>
      <c r="J877" s="76"/>
      <c r="K877" s="76"/>
      <c r="L877" s="76"/>
      <c r="M877" s="76"/>
      <c r="N877" s="76"/>
      <c r="O877" s="76"/>
      <c r="P877" s="76"/>
      <c r="Q877" s="76"/>
      <c r="R877" s="76"/>
      <c r="S877" s="76"/>
      <c r="T877" s="76"/>
      <c r="U877" s="76"/>
      <c r="V877" s="76"/>
      <c r="W877" s="77"/>
    </row>
    <row r="878" spans="1:23" x14ac:dyDescent="0.3">
      <c r="A878" s="75"/>
      <c r="B878" s="76"/>
      <c r="C878" s="76"/>
      <c r="D878" s="76"/>
      <c r="E878" s="76"/>
      <c r="F878" s="76"/>
      <c r="G878" s="76"/>
      <c r="H878" s="76"/>
      <c r="I878" s="76"/>
      <c r="J878" s="76"/>
      <c r="K878" s="76"/>
      <c r="L878" s="76"/>
      <c r="M878" s="76"/>
      <c r="N878" s="76"/>
      <c r="O878" s="76"/>
      <c r="P878" s="76"/>
      <c r="Q878" s="76"/>
      <c r="R878" s="76"/>
      <c r="S878" s="76"/>
      <c r="T878" s="76"/>
      <c r="U878" s="76"/>
      <c r="V878" s="76"/>
      <c r="W878" s="77"/>
    </row>
    <row r="879" spans="1:23" x14ac:dyDescent="0.3">
      <c r="A879" s="75"/>
      <c r="B879" s="76"/>
      <c r="C879" s="76"/>
      <c r="D879" s="76"/>
      <c r="E879" s="76"/>
      <c r="F879" s="76"/>
      <c r="G879" s="76"/>
      <c r="H879" s="76"/>
      <c r="I879" s="76"/>
      <c r="J879" s="76"/>
      <c r="K879" s="76"/>
      <c r="L879" s="76"/>
      <c r="M879" s="76"/>
      <c r="N879" s="76"/>
      <c r="O879" s="76"/>
      <c r="P879" s="76"/>
      <c r="Q879" s="76"/>
      <c r="R879" s="76"/>
      <c r="S879" s="76"/>
      <c r="T879" s="76"/>
      <c r="U879" s="76"/>
      <c r="V879" s="76"/>
      <c r="W879" s="77"/>
    </row>
    <row r="880" spans="1:23" x14ac:dyDescent="0.3">
      <c r="A880" s="75"/>
      <c r="B880" s="76"/>
      <c r="C880" s="76"/>
      <c r="D880" s="76"/>
      <c r="E880" s="76"/>
      <c r="F880" s="76"/>
      <c r="G880" s="76"/>
      <c r="H880" s="76"/>
      <c r="I880" s="76"/>
      <c r="J880" s="76"/>
      <c r="K880" s="76"/>
      <c r="L880" s="76"/>
      <c r="M880" s="76"/>
      <c r="N880" s="76"/>
      <c r="O880" s="76"/>
      <c r="P880" s="76"/>
      <c r="Q880" s="76"/>
      <c r="R880" s="76"/>
      <c r="S880" s="76"/>
      <c r="T880" s="76"/>
      <c r="U880" s="76"/>
      <c r="V880" s="76"/>
      <c r="W880" s="77"/>
    </row>
    <row r="881" spans="1:23" x14ac:dyDescent="0.3">
      <c r="A881" s="75"/>
      <c r="B881" s="76"/>
      <c r="C881" s="76"/>
      <c r="D881" s="76"/>
      <c r="E881" s="76"/>
      <c r="F881" s="76"/>
      <c r="G881" s="76"/>
      <c r="H881" s="76"/>
      <c r="I881" s="76"/>
      <c r="J881" s="76"/>
      <c r="K881" s="76"/>
      <c r="L881" s="76"/>
      <c r="M881" s="76"/>
      <c r="N881" s="76"/>
      <c r="O881" s="76"/>
      <c r="P881" s="76"/>
      <c r="Q881" s="76"/>
      <c r="R881" s="76"/>
      <c r="S881" s="76"/>
      <c r="T881" s="76"/>
      <c r="U881" s="76"/>
      <c r="V881" s="76"/>
      <c r="W881" s="77"/>
    </row>
    <row r="882" spans="1:23" x14ac:dyDescent="0.3">
      <c r="A882" s="75"/>
      <c r="B882" s="76"/>
      <c r="C882" s="76"/>
      <c r="D882" s="76"/>
      <c r="E882" s="76"/>
      <c r="F882" s="76"/>
      <c r="G882" s="76"/>
      <c r="H882" s="76"/>
      <c r="I882" s="76"/>
      <c r="J882" s="76"/>
      <c r="K882" s="76"/>
      <c r="L882" s="76"/>
      <c r="M882" s="76"/>
      <c r="N882" s="76"/>
      <c r="O882" s="76"/>
      <c r="P882" s="76"/>
      <c r="Q882" s="76"/>
      <c r="R882" s="76"/>
      <c r="S882" s="76"/>
      <c r="T882" s="76"/>
      <c r="U882" s="76"/>
      <c r="V882" s="76"/>
      <c r="W882" s="77"/>
    </row>
    <row r="883" spans="1:23" x14ac:dyDescent="0.3">
      <c r="A883" s="75"/>
      <c r="B883" s="76"/>
      <c r="C883" s="76"/>
      <c r="D883" s="76"/>
      <c r="E883" s="76"/>
      <c r="F883" s="76"/>
      <c r="G883" s="76"/>
      <c r="H883" s="76"/>
      <c r="I883" s="76"/>
      <c r="J883" s="76"/>
      <c r="K883" s="76"/>
      <c r="L883" s="76"/>
      <c r="M883" s="76"/>
      <c r="N883" s="76"/>
      <c r="O883" s="76"/>
      <c r="P883" s="76"/>
      <c r="Q883" s="76"/>
      <c r="R883" s="76"/>
      <c r="S883" s="76"/>
      <c r="T883" s="76"/>
      <c r="U883" s="76"/>
      <c r="V883" s="76"/>
      <c r="W883" s="77"/>
    </row>
    <row r="884" spans="1:23" x14ac:dyDescent="0.3">
      <c r="A884" s="75"/>
      <c r="B884" s="76"/>
      <c r="C884" s="76"/>
      <c r="D884" s="76"/>
      <c r="E884" s="76"/>
      <c r="F884" s="76"/>
      <c r="G884" s="76"/>
      <c r="H884" s="76"/>
      <c r="I884" s="76"/>
      <c r="J884" s="76"/>
      <c r="K884" s="76"/>
      <c r="L884" s="76"/>
      <c r="M884" s="76"/>
      <c r="N884" s="76"/>
      <c r="O884" s="76"/>
      <c r="P884" s="76"/>
      <c r="Q884" s="76"/>
      <c r="R884" s="76"/>
      <c r="S884" s="76"/>
      <c r="T884" s="76"/>
      <c r="U884" s="76"/>
      <c r="V884" s="76"/>
      <c r="W884" s="77"/>
    </row>
    <row r="885" spans="1:23" x14ac:dyDescent="0.3">
      <c r="A885" s="75"/>
      <c r="B885" s="76"/>
      <c r="C885" s="76"/>
      <c r="D885" s="76"/>
      <c r="E885" s="76"/>
      <c r="F885" s="76"/>
      <c r="G885" s="76"/>
      <c r="H885" s="76"/>
      <c r="I885" s="76"/>
      <c r="J885" s="76"/>
      <c r="K885" s="76"/>
      <c r="L885" s="76"/>
      <c r="M885" s="76"/>
      <c r="N885" s="76"/>
      <c r="O885" s="76"/>
      <c r="P885" s="76"/>
      <c r="Q885" s="76"/>
      <c r="R885" s="76"/>
      <c r="S885" s="76"/>
      <c r="T885" s="76"/>
      <c r="U885" s="76"/>
      <c r="V885" s="76"/>
      <c r="W885" s="77"/>
    </row>
    <row r="886" spans="1:23" x14ac:dyDescent="0.3">
      <c r="A886" s="75"/>
      <c r="B886" s="76"/>
      <c r="C886" s="76"/>
      <c r="D886" s="76"/>
      <c r="E886" s="76"/>
      <c r="F886" s="76"/>
      <c r="G886" s="76"/>
      <c r="H886" s="76"/>
      <c r="I886" s="76"/>
      <c r="J886" s="76"/>
      <c r="K886" s="76"/>
      <c r="L886" s="76"/>
      <c r="M886" s="76"/>
      <c r="N886" s="76"/>
      <c r="O886" s="76"/>
      <c r="P886" s="76"/>
      <c r="Q886" s="76"/>
      <c r="R886" s="76"/>
      <c r="S886" s="76"/>
      <c r="T886" s="76"/>
      <c r="U886" s="76"/>
      <c r="V886" s="76"/>
      <c r="W886" s="77"/>
    </row>
    <row r="887" spans="1:23" x14ac:dyDescent="0.3">
      <c r="A887" s="75"/>
      <c r="B887" s="76"/>
      <c r="C887" s="76"/>
      <c r="D887" s="76"/>
      <c r="E887" s="76"/>
      <c r="F887" s="76"/>
      <c r="G887" s="76"/>
      <c r="H887" s="76"/>
      <c r="I887" s="76"/>
      <c r="J887" s="76"/>
      <c r="K887" s="76"/>
      <c r="L887" s="76"/>
      <c r="M887" s="76"/>
      <c r="N887" s="76"/>
      <c r="O887" s="76"/>
      <c r="P887" s="76"/>
      <c r="Q887" s="76"/>
      <c r="R887" s="76"/>
      <c r="S887" s="76"/>
      <c r="T887" s="76"/>
      <c r="U887" s="76"/>
      <c r="V887" s="76"/>
      <c r="W887" s="77"/>
    </row>
    <row r="888" spans="1:23" x14ac:dyDescent="0.3">
      <c r="A888" s="75"/>
      <c r="B888" s="76"/>
      <c r="C888" s="76"/>
      <c r="D888" s="76"/>
      <c r="E888" s="76"/>
      <c r="F888" s="76"/>
      <c r="G888" s="76"/>
      <c r="H888" s="76"/>
      <c r="I888" s="76"/>
      <c r="J888" s="76"/>
      <c r="K888" s="76"/>
      <c r="L888" s="76"/>
      <c r="M888" s="76"/>
      <c r="N888" s="76"/>
      <c r="O888" s="76"/>
      <c r="P888" s="76"/>
      <c r="Q888" s="76"/>
      <c r="R888" s="76"/>
      <c r="S888" s="76"/>
      <c r="T888" s="76"/>
      <c r="U888" s="76"/>
      <c r="V888" s="76"/>
      <c r="W888" s="77"/>
    </row>
    <row r="889" spans="1:23" x14ac:dyDescent="0.3">
      <c r="A889" s="75"/>
      <c r="B889" s="76"/>
      <c r="C889" s="76"/>
      <c r="D889" s="76"/>
      <c r="E889" s="76"/>
      <c r="F889" s="76"/>
      <c r="G889" s="76"/>
      <c r="H889" s="76"/>
      <c r="I889" s="76"/>
      <c r="J889" s="76"/>
      <c r="K889" s="76"/>
      <c r="L889" s="76"/>
      <c r="M889" s="76"/>
      <c r="N889" s="76"/>
      <c r="O889" s="76"/>
      <c r="P889" s="76"/>
      <c r="Q889" s="76"/>
      <c r="R889" s="76"/>
      <c r="S889" s="76"/>
      <c r="T889" s="76"/>
      <c r="U889" s="76"/>
      <c r="V889" s="76"/>
      <c r="W889" s="77"/>
    </row>
    <row r="890" spans="1:23" x14ac:dyDescent="0.3">
      <c r="A890" s="75"/>
      <c r="B890" s="76"/>
      <c r="C890" s="76"/>
      <c r="D890" s="76"/>
      <c r="E890" s="76"/>
      <c r="F890" s="76"/>
      <c r="G890" s="76"/>
      <c r="H890" s="76"/>
      <c r="I890" s="76"/>
      <c r="J890" s="76"/>
      <c r="K890" s="76"/>
      <c r="L890" s="76"/>
      <c r="M890" s="76"/>
      <c r="N890" s="76"/>
      <c r="O890" s="76"/>
      <c r="P890" s="76"/>
      <c r="Q890" s="76"/>
      <c r="R890" s="76"/>
      <c r="S890" s="76"/>
      <c r="T890" s="76"/>
      <c r="U890" s="76"/>
      <c r="V890" s="76"/>
      <c r="W890" s="77"/>
    </row>
    <row r="891" spans="1:23" x14ac:dyDescent="0.3">
      <c r="A891" s="75"/>
      <c r="B891" s="76"/>
      <c r="C891" s="76"/>
      <c r="D891" s="76"/>
      <c r="E891" s="76"/>
      <c r="F891" s="76"/>
      <c r="G891" s="76"/>
      <c r="H891" s="76"/>
      <c r="I891" s="76"/>
      <c r="J891" s="76"/>
      <c r="K891" s="76"/>
      <c r="L891" s="76"/>
      <c r="M891" s="76"/>
      <c r="N891" s="76"/>
      <c r="O891" s="76"/>
      <c r="P891" s="76"/>
      <c r="Q891" s="76"/>
      <c r="R891" s="76"/>
      <c r="S891" s="76"/>
      <c r="T891" s="76"/>
      <c r="U891" s="76"/>
      <c r="V891" s="76"/>
      <c r="W891" s="77"/>
    </row>
    <row r="892" spans="1:23" x14ac:dyDescent="0.3">
      <c r="A892" s="75"/>
      <c r="B892" s="76"/>
      <c r="C892" s="76"/>
      <c r="D892" s="76"/>
      <c r="E892" s="76"/>
      <c r="F892" s="76"/>
      <c r="G892" s="76"/>
      <c r="H892" s="76"/>
      <c r="I892" s="76"/>
      <c r="J892" s="76"/>
      <c r="K892" s="76"/>
      <c r="L892" s="76"/>
      <c r="M892" s="76"/>
      <c r="N892" s="76"/>
      <c r="O892" s="76"/>
      <c r="P892" s="76"/>
      <c r="Q892" s="76"/>
      <c r="R892" s="76"/>
      <c r="S892" s="76"/>
      <c r="T892" s="76"/>
      <c r="U892" s="76"/>
      <c r="V892" s="76"/>
      <c r="W892" s="77"/>
    </row>
    <row r="893" spans="1:23" x14ac:dyDescent="0.3">
      <c r="A893" s="75"/>
      <c r="B893" s="76"/>
      <c r="C893" s="76"/>
      <c r="D893" s="76"/>
      <c r="E893" s="76"/>
      <c r="F893" s="76"/>
      <c r="G893" s="76"/>
      <c r="H893" s="76"/>
      <c r="I893" s="76"/>
      <c r="J893" s="76"/>
      <c r="K893" s="76"/>
      <c r="L893" s="76"/>
      <c r="M893" s="76"/>
      <c r="N893" s="76"/>
      <c r="O893" s="76"/>
      <c r="P893" s="76"/>
      <c r="Q893" s="76"/>
      <c r="R893" s="76"/>
      <c r="S893" s="76"/>
      <c r="T893" s="76"/>
      <c r="U893" s="76"/>
      <c r="V893" s="76"/>
      <c r="W893" s="77"/>
    </row>
    <row r="894" spans="1:23" x14ac:dyDescent="0.3">
      <c r="A894" s="75"/>
      <c r="B894" s="76"/>
      <c r="C894" s="76"/>
      <c r="D894" s="76"/>
      <c r="E894" s="76"/>
      <c r="F894" s="76"/>
      <c r="G894" s="76"/>
      <c r="H894" s="76"/>
      <c r="I894" s="76"/>
      <c r="J894" s="76"/>
      <c r="K894" s="76"/>
      <c r="L894" s="76"/>
      <c r="M894" s="76"/>
      <c r="N894" s="76"/>
      <c r="O894" s="76"/>
      <c r="P894" s="76"/>
      <c r="Q894" s="76"/>
      <c r="R894" s="76"/>
      <c r="S894" s="76"/>
      <c r="T894" s="76"/>
      <c r="U894" s="76"/>
      <c r="V894" s="76"/>
      <c r="W894" s="77"/>
    </row>
    <row r="895" spans="1:23" x14ac:dyDescent="0.3">
      <c r="A895" s="75"/>
      <c r="B895" s="76"/>
      <c r="C895" s="76"/>
      <c r="D895" s="76"/>
      <c r="E895" s="76"/>
      <c r="F895" s="76"/>
      <c r="G895" s="76"/>
      <c r="H895" s="76"/>
      <c r="I895" s="76"/>
      <c r="J895" s="76"/>
      <c r="K895" s="76"/>
      <c r="L895" s="76"/>
      <c r="M895" s="76"/>
      <c r="N895" s="76"/>
      <c r="O895" s="76"/>
      <c r="P895" s="76"/>
      <c r="Q895" s="76"/>
      <c r="R895" s="76"/>
      <c r="S895" s="76"/>
      <c r="T895" s="76"/>
      <c r="U895" s="76"/>
      <c r="V895" s="76"/>
      <c r="W895" s="77"/>
    </row>
    <row r="896" spans="1:23" x14ac:dyDescent="0.3">
      <c r="A896" s="75"/>
      <c r="B896" s="76"/>
      <c r="C896" s="76"/>
      <c r="D896" s="76"/>
      <c r="E896" s="76"/>
      <c r="F896" s="76"/>
      <c r="G896" s="76"/>
      <c r="H896" s="76"/>
      <c r="I896" s="76"/>
      <c r="J896" s="76"/>
      <c r="K896" s="76"/>
      <c r="L896" s="76"/>
      <c r="M896" s="76"/>
      <c r="N896" s="76"/>
      <c r="O896" s="76"/>
      <c r="P896" s="76"/>
      <c r="Q896" s="76"/>
      <c r="R896" s="76"/>
      <c r="S896" s="76"/>
      <c r="T896" s="76"/>
      <c r="U896" s="76"/>
      <c r="V896" s="76"/>
      <c r="W896" s="77"/>
    </row>
    <row r="897" spans="1:23" x14ac:dyDescent="0.3">
      <c r="A897" s="75"/>
      <c r="B897" s="76"/>
      <c r="C897" s="76"/>
      <c r="D897" s="76"/>
      <c r="E897" s="76"/>
      <c r="F897" s="76"/>
      <c r="G897" s="76"/>
      <c r="H897" s="76"/>
      <c r="I897" s="76"/>
      <c r="J897" s="76"/>
      <c r="K897" s="76"/>
      <c r="L897" s="76"/>
      <c r="M897" s="76"/>
      <c r="N897" s="76"/>
      <c r="O897" s="76"/>
      <c r="P897" s="76"/>
      <c r="Q897" s="76"/>
      <c r="R897" s="76"/>
      <c r="S897" s="76"/>
      <c r="T897" s="76"/>
      <c r="U897" s="76"/>
      <c r="V897" s="76"/>
      <c r="W897" s="77"/>
    </row>
    <row r="898" spans="1:23" x14ac:dyDescent="0.3">
      <c r="A898" s="75"/>
      <c r="B898" s="76"/>
      <c r="C898" s="76"/>
      <c r="D898" s="76"/>
      <c r="E898" s="76"/>
      <c r="F898" s="76"/>
      <c r="G898" s="76"/>
      <c r="H898" s="76"/>
      <c r="I898" s="76"/>
      <c r="J898" s="76"/>
      <c r="K898" s="76"/>
      <c r="L898" s="76"/>
      <c r="M898" s="76"/>
      <c r="N898" s="76"/>
      <c r="O898" s="76"/>
      <c r="P898" s="76"/>
      <c r="Q898" s="76"/>
      <c r="R898" s="76"/>
      <c r="S898" s="76"/>
      <c r="T898" s="76"/>
      <c r="U898" s="76"/>
      <c r="V898" s="76"/>
      <c r="W898" s="77"/>
    </row>
    <row r="899" spans="1:23" x14ac:dyDescent="0.3">
      <c r="A899" s="75"/>
      <c r="B899" s="76"/>
      <c r="C899" s="76"/>
      <c r="D899" s="76"/>
      <c r="E899" s="76"/>
      <c r="F899" s="76"/>
      <c r="G899" s="76"/>
      <c r="H899" s="76"/>
      <c r="I899" s="76"/>
      <c r="J899" s="76"/>
      <c r="K899" s="76"/>
      <c r="L899" s="76"/>
      <c r="M899" s="76"/>
      <c r="N899" s="76"/>
      <c r="O899" s="76"/>
      <c r="P899" s="76"/>
      <c r="Q899" s="76"/>
      <c r="R899" s="76"/>
      <c r="S899" s="76"/>
      <c r="T899" s="76"/>
      <c r="U899" s="76"/>
      <c r="V899" s="76"/>
      <c r="W899" s="77"/>
    </row>
    <row r="900" spans="1:23" x14ac:dyDescent="0.3">
      <c r="A900" s="75"/>
      <c r="B900" s="76"/>
      <c r="C900" s="76"/>
      <c r="D900" s="76"/>
      <c r="E900" s="76"/>
      <c r="F900" s="76"/>
      <c r="G900" s="76"/>
      <c r="H900" s="76"/>
      <c r="I900" s="76"/>
      <c r="J900" s="76"/>
      <c r="K900" s="76"/>
      <c r="L900" s="76"/>
      <c r="M900" s="76"/>
      <c r="N900" s="76"/>
      <c r="O900" s="76"/>
      <c r="P900" s="76"/>
      <c r="Q900" s="76"/>
      <c r="R900" s="76"/>
      <c r="S900" s="76"/>
      <c r="T900" s="76"/>
      <c r="U900" s="76"/>
      <c r="V900" s="76"/>
      <c r="W900" s="77"/>
    </row>
    <row r="901" spans="1:23" x14ac:dyDescent="0.3">
      <c r="A901" s="75"/>
      <c r="B901" s="76"/>
      <c r="C901" s="76"/>
      <c r="D901" s="76"/>
      <c r="E901" s="76"/>
      <c r="F901" s="76"/>
      <c r="G901" s="76"/>
      <c r="H901" s="76"/>
      <c r="I901" s="76"/>
      <c r="J901" s="76"/>
      <c r="K901" s="76"/>
      <c r="L901" s="76"/>
      <c r="M901" s="76"/>
      <c r="N901" s="76"/>
      <c r="O901" s="76"/>
      <c r="P901" s="76"/>
      <c r="Q901" s="76"/>
      <c r="R901" s="76"/>
      <c r="S901" s="76"/>
      <c r="T901" s="76"/>
      <c r="U901" s="76"/>
      <c r="V901" s="76"/>
      <c r="W901" s="77"/>
    </row>
    <row r="902" spans="1:23" x14ac:dyDescent="0.3">
      <c r="A902" s="75"/>
      <c r="B902" s="76"/>
      <c r="C902" s="76"/>
      <c r="D902" s="76"/>
      <c r="E902" s="76"/>
      <c r="F902" s="76"/>
      <c r="G902" s="76"/>
      <c r="H902" s="76"/>
      <c r="I902" s="76"/>
      <c r="J902" s="76"/>
      <c r="K902" s="76"/>
      <c r="L902" s="76"/>
      <c r="M902" s="76"/>
      <c r="N902" s="76"/>
      <c r="O902" s="76"/>
      <c r="P902" s="76"/>
      <c r="Q902" s="76"/>
      <c r="R902" s="76"/>
      <c r="S902" s="76"/>
      <c r="T902" s="76"/>
      <c r="U902" s="76"/>
      <c r="V902" s="76"/>
      <c r="W902" s="77"/>
    </row>
    <row r="903" spans="1:23" x14ac:dyDescent="0.3">
      <c r="A903" s="75"/>
      <c r="B903" s="76"/>
      <c r="C903" s="76"/>
      <c r="D903" s="76"/>
      <c r="E903" s="76"/>
      <c r="F903" s="76"/>
      <c r="G903" s="76"/>
      <c r="H903" s="76"/>
      <c r="I903" s="76"/>
      <c r="J903" s="76"/>
      <c r="K903" s="76"/>
      <c r="L903" s="76"/>
      <c r="M903" s="76"/>
      <c r="N903" s="76"/>
      <c r="O903" s="76"/>
      <c r="P903" s="76"/>
      <c r="Q903" s="76"/>
      <c r="R903" s="76"/>
      <c r="S903" s="76"/>
      <c r="T903" s="76"/>
      <c r="U903" s="76"/>
      <c r="V903" s="76"/>
      <c r="W903" s="77"/>
    </row>
    <row r="904" spans="1:23" x14ac:dyDescent="0.3">
      <c r="A904" s="75"/>
      <c r="B904" s="76"/>
      <c r="C904" s="76"/>
      <c r="D904" s="76"/>
      <c r="E904" s="76"/>
      <c r="F904" s="76"/>
      <c r="G904" s="76"/>
      <c r="H904" s="76"/>
      <c r="I904" s="76"/>
      <c r="J904" s="76"/>
      <c r="K904" s="76"/>
      <c r="L904" s="76"/>
      <c r="M904" s="76"/>
      <c r="N904" s="76"/>
      <c r="O904" s="76"/>
      <c r="P904" s="76"/>
      <c r="Q904" s="76"/>
      <c r="R904" s="76"/>
      <c r="S904" s="76"/>
      <c r="T904" s="76"/>
      <c r="U904" s="76"/>
      <c r="V904" s="76"/>
      <c r="W904" s="77"/>
    </row>
    <row r="905" spans="1:23" x14ac:dyDescent="0.3">
      <c r="A905" s="75"/>
      <c r="B905" s="76"/>
      <c r="C905" s="76"/>
      <c r="D905" s="76"/>
      <c r="E905" s="76"/>
      <c r="F905" s="76"/>
      <c r="G905" s="76"/>
      <c r="H905" s="76"/>
      <c r="I905" s="76"/>
      <c r="J905" s="76"/>
      <c r="K905" s="76"/>
      <c r="L905" s="76"/>
      <c r="M905" s="76"/>
      <c r="N905" s="76"/>
      <c r="O905" s="76"/>
      <c r="P905" s="76"/>
      <c r="Q905" s="76"/>
      <c r="R905" s="76"/>
      <c r="S905" s="76"/>
      <c r="T905" s="76"/>
      <c r="U905" s="76"/>
      <c r="V905" s="76"/>
      <c r="W905" s="77"/>
    </row>
    <row r="906" spans="1:23" x14ac:dyDescent="0.3">
      <c r="A906" s="75"/>
      <c r="B906" s="76"/>
      <c r="C906" s="76"/>
      <c r="D906" s="76"/>
      <c r="E906" s="76"/>
      <c r="F906" s="76"/>
      <c r="G906" s="76"/>
      <c r="H906" s="76"/>
      <c r="I906" s="76"/>
      <c r="J906" s="76"/>
      <c r="K906" s="76"/>
      <c r="L906" s="76"/>
      <c r="M906" s="76"/>
      <c r="N906" s="76"/>
      <c r="O906" s="76"/>
      <c r="P906" s="76"/>
      <c r="Q906" s="76"/>
      <c r="R906" s="76"/>
      <c r="S906" s="76"/>
      <c r="T906" s="76"/>
      <c r="U906" s="76"/>
      <c r="V906" s="76"/>
      <c r="W906" s="77"/>
    </row>
    <row r="907" spans="1:23" x14ac:dyDescent="0.3">
      <c r="A907" s="75"/>
      <c r="B907" s="76"/>
      <c r="C907" s="76"/>
      <c r="D907" s="76"/>
      <c r="E907" s="76"/>
      <c r="F907" s="76"/>
      <c r="G907" s="76"/>
      <c r="H907" s="76"/>
      <c r="I907" s="76"/>
      <c r="J907" s="76"/>
      <c r="K907" s="76"/>
      <c r="L907" s="76"/>
      <c r="M907" s="76"/>
      <c r="N907" s="76"/>
      <c r="O907" s="76"/>
      <c r="P907" s="76"/>
      <c r="Q907" s="76"/>
      <c r="R907" s="76"/>
      <c r="S907" s="76"/>
      <c r="T907" s="76"/>
      <c r="U907" s="76"/>
      <c r="V907" s="76"/>
      <c r="W907" s="77"/>
    </row>
    <row r="908" spans="1:23" x14ac:dyDescent="0.3">
      <c r="A908" s="75"/>
      <c r="B908" s="76"/>
      <c r="C908" s="76"/>
      <c r="D908" s="76"/>
      <c r="E908" s="76"/>
      <c r="F908" s="76"/>
      <c r="G908" s="76"/>
      <c r="H908" s="76"/>
      <c r="I908" s="76"/>
      <c r="J908" s="76"/>
      <c r="K908" s="76"/>
      <c r="L908" s="76"/>
      <c r="M908" s="76"/>
      <c r="N908" s="76"/>
      <c r="O908" s="76"/>
      <c r="P908" s="76"/>
      <c r="Q908" s="76"/>
      <c r="R908" s="76"/>
      <c r="S908" s="76"/>
      <c r="T908" s="76"/>
      <c r="U908" s="76"/>
      <c r="V908" s="76"/>
      <c r="W908" s="77"/>
    </row>
    <row r="909" spans="1:23" x14ac:dyDescent="0.3">
      <c r="A909" s="75"/>
      <c r="B909" s="76"/>
      <c r="C909" s="76"/>
      <c r="D909" s="76"/>
      <c r="E909" s="76"/>
      <c r="F909" s="76"/>
      <c r="G909" s="76"/>
      <c r="H909" s="76"/>
      <c r="I909" s="76"/>
      <c r="J909" s="76"/>
      <c r="K909" s="76"/>
      <c r="L909" s="76"/>
      <c r="M909" s="76"/>
      <c r="N909" s="76"/>
      <c r="O909" s="76"/>
      <c r="P909" s="76"/>
      <c r="Q909" s="76"/>
      <c r="R909" s="76"/>
      <c r="S909" s="76"/>
      <c r="T909" s="76"/>
      <c r="U909" s="76"/>
      <c r="V909" s="76"/>
      <c r="W909" s="77"/>
    </row>
    <row r="910" spans="1:23" x14ac:dyDescent="0.3">
      <c r="A910" s="75"/>
      <c r="B910" s="76"/>
      <c r="C910" s="76"/>
      <c r="D910" s="76"/>
      <c r="E910" s="76"/>
      <c r="F910" s="76"/>
      <c r="G910" s="76"/>
      <c r="H910" s="76"/>
      <c r="I910" s="76"/>
      <c r="J910" s="76"/>
      <c r="K910" s="76"/>
      <c r="L910" s="76"/>
      <c r="M910" s="76"/>
      <c r="N910" s="76"/>
      <c r="O910" s="76"/>
      <c r="P910" s="76"/>
      <c r="Q910" s="76"/>
      <c r="R910" s="76"/>
      <c r="S910" s="76"/>
      <c r="T910" s="76"/>
      <c r="U910" s="76"/>
      <c r="V910" s="76"/>
      <c r="W910" s="77"/>
    </row>
    <row r="911" spans="1:23" x14ac:dyDescent="0.3">
      <c r="A911" s="75"/>
      <c r="B911" s="76"/>
      <c r="C911" s="76"/>
      <c r="D911" s="76"/>
      <c r="E911" s="76"/>
      <c r="F911" s="76"/>
      <c r="G911" s="76"/>
      <c r="H911" s="76"/>
      <c r="I911" s="76"/>
      <c r="J911" s="76"/>
      <c r="K911" s="76"/>
      <c r="L911" s="76"/>
      <c r="M911" s="76"/>
      <c r="N911" s="76"/>
      <c r="O911" s="76"/>
      <c r="P911" s="76"/>
      <c r="Q911" s="76"/>
      <c r="R911" s="76"/>
      <c r="S911" s="76"/>
      <c r="T911" s="76"/>
      <c r="U911" s="76"/>
      <c r="V911" s="76"/>
      <c r="W911" s="77"/>
    </row>
    <row r="912" spans="1:23" x14ac:dyDescent="0.3">
      <c r="A912" s="75"/>
      <c r="B912" s="76"/>
      <c r="C912" s="76"/>
      <c r="D912" s="76"/>
      <c r="E912" s="76"/>
      <c r="F912" s="76"/>
      <c r="G912" s="76"/>
      <c r="H912" s="76"/>
      <c r="I912" s="76"/>
      <c r="J912" s="76"/>
      <c r="K912" s="76"/>
      <c r="L912" s="76"/>
      <c r="M912" s="76"/>
      <c r="N912" s="76"/>
      <c r="O912" s="76"/>
      <c r="P912" s="76"/>
      <c r="Q912" s="76"/>
      <c r="R912" s="76"/>
      <c r="S912" s="76"/>
      <c r="T912" s="76"/>
      <c r="U912" s="76"/>
      <c r="V912" s="76"/>
      <c r="W912" s="77"/>
    </row>
    <row r="913" spans="1:23" x14ac:dyDescent="0.3">
      <c r="A913" s="75"/>
      <c r="B913" s="76"/>
      <c r="C913" s="76"/>
      <c r="D913" s="76"/>
      <c r="E913" s="76"/>
      <c r="F913" s="76"/>
      <c r="G913" s="76"/>
      <c r="H913" s="76"/>
      <c r="I913" s="76"/>
      <c r="J913" s="76"/>
      <c r="K913" s="76"/>
      <c r="L913" s="76"/>
      <c r="M913" s="76"/>
      <c r="N913" s="76"/>
      <c r="O913" s="76"/>
      <c r="P913" s="76"/>
      <c r="Q913" s="76"/>
      <c r="R913" s="76"/>
      <c r="S913" s="76"/>
      <c r="T913" s="76"/>
      <c r="U913" s="76"/>
      <c r="V913" s="76"/>
      <c r="W913" s="77"/>
    </row>
    <row r="914" spans="1:23" x14ac:dyDescent="0.3">
      <c r="A914" s="75"/>
      <c r="B914" s="76"/>
      <c r="C914" s="76"/>
      <c r="D914" s="76"/>
      <c r="E914" s="76"/>
      <c r="F914" s="76"/>
      <c r="G914" s="76"/>
      <c r="H914" s="76"/>
      <c r="I914" s="76"/>
      <c r="J914" s="76"/>
      <c r="K914" s="76"/>
      <c r="L914" s="76"/>
      <c r="M914" s="76"/>
      <c r="N914" s="76"/>
      <c r="O914" s="76"/>
      <c r="P914" s="76"/>
      <c r="Q914" s="76"/>
      <c r="R914" s="76"/>
      <c r="S914" s="76"/>
      <c r="T914" s="76"/>
      <c r="U914" s="76"/>
      <c r="V914" s="76"/>
      <c r="W914" s="77"/>
    </row>
    <row r="915" spans="1:23" x14ac:dyDescent="0.3">
      <c r="A915" s="75"/>
      <c r="B915" s="76"/>
      <c r="C915" s="76"/>
      <c r="D915" s="76"/>
      <c r="E915" s="76"/>
      <c r="F915" s="76"/>
      <c r="G915" s="76"/>
      <c r="H915" s="76"/>
      <c r="I915" s="76"/>
      <c r="J915" s="76"/>
      <c r="K915" s="76"/>
      <c r="L915" s="76"/>
      <c r="M915" s="76"/>
      <c r="N915" s="76"/>
      <c r="O915" s="76"/>
      <c r="P915" s="76"/>
      <c r="Q915" s="76"/>
      <c r="R915" s="76"/>
      <c r="S915" s="76"/>
      <c r="T915" s="76"/>
      <c r="U915" s="76"/>
      <c r="V915" s="76"/>
      <c r="W915" s="77"/>
    </row>
    <row r="916" spans="1:23" x14ac:dyDescent="0.3">
      <c r="A916" s="75"/>
      <c r="B916" s="76"/>
      <c r="C916" s="76"/>
      <c r="D916" s="76"/>
      <c r="E916" s="76"/>
      <c r="F916" s="76"/>
      <c r="G916" s="76"/>
      <c r="H916" s="76"/>
      <c r="I916" s="76"/>
      <c r="J916" s="76"/>
      <c r="K916" s="76"/>
      <c r="L916" s="76"/>
      <c r="M916" s="76"/>
      <c r="N916" s="76"/>
      <c r="O916" s="76"/>
      <c r="P916" s="76"/>
      <c r="Q916" s="76"/>
      <c r="R916" s="76"/>
      <c r="S916" s="76"/>
      <c r="T916" s="76"/>
      <c r="U916" s="76"/>
      <c r="V916" s="76"/>
      <c r="W916" s="77"/>
    </row>
    <row r="917" spans="1:23" x14ac:dyDescent="0.3">
      <c r="A917" s="75"/>
      <c r="B917" s="76"/>
      <c r="C917" s="76"/>
      <c r="D917" s="76"/>
      <c r="E917" s="76"/>
      <c r="F917" s="76"/>
      <c r="G917" s="76"/>
      <c r="H917" s="76"/>
      <c r="I917" s="76"/>
      <c r="J917" s="76"/>
      <c r="K917" s="76"/>
      <c r="L917" s="76"/>
      <c r="M917" s="76"/>
      <c r="N917" s="76"/>
      <c r="O917" s="76"/>
      <c r="P917" s="76"/>
      <c r="Q917" s="76"/>
      <c r="R917" s="76"/>
      <c r="S917" s="76"/>
      <c r="T917" s="76"/>
      <c r="U917" s="76"/>
      <c r="V917" s="76"/>
      <c r="W917" s="77"/>
    </row>
    <row r="918" spans="1:23" x14ac:dyDescent="0.3">
      <c r="A918" s="75"/>
      <c r="B918" s="76"/>
      <c r="C918" s="76"/>
      <c r="D918" s="76"/>
      <c r="E918" s="76"/>
      <c r="F918" s="76"/>
      <c r="G918" s="76"/>
      <c r="H918" s="76"/>
      <c r="I918" s="76"/>
      <c r="J918" s="76"/>
      <c r="K918" s="76"/>
      <c r="L918" s="76"/>
      <c r="M918" s="76"/>
      <c r="N918" s="76"/>
      <c r="O918" s="76"/>
      <c r="P918" s="76"/>
      <c r="Q918" s="76"/>
      <c r="R918" s="76"/>
      <c r="S918" s="76"/>
      <c r="T918" s="76"/>
      <c r="U918" s="76"/>
      <c r="V918" s="76"/>
      <c r="W918" s="77"/>
    </row>
    <row r="919" spans="1:23" x14ac:dyDescent="0.3">
      <c r="A919" s="75"/>
      <c r="B919" s="76"/>
      <c r="C919" s="76"/>
      <c r="D919" s="76"/>
      <c r="E919" s="76"/>
      <c r="F919" s="76"/>
      <c r="G919" s="76"/>
      <c r="H919" s="76"/>
      <c r="I919" s="76"/>
      <c r="J919" s="76"/>
      <c r="K919" s="76"/>
      <c r="L919" s="76"/>
      <c r="M919" s="76"/>
      <c r="N919" s="76"/>
      <c r="O919" s="76"/>
      <c r="P919" s="76"/>
      <c r="Q919" s="76"/>
      <c r="R919" s="76"/>
      <c r="S919" s="76"/>
      <c r="T919" s="76"/>
      <c r="U919" s="76"/>
      <c r="V919" s="76"/>
      <c r="W919" s="77"/>
    </row>
    <row r="920" spans="1:23" x14ac:dyDescent="0.3">
      <c r="A920" s="75"/>
      <c r="B920" s="76"/>
      <c r="C920" s="76"/>
      <c r="D920" s="76"/>
      <c r="E920" s="76"/>
      <c r="F920" s="76"/>
      <c r="G920" s="76"/>
      <c r="H920" s="76"/>
      <c r="I920" s="76"/>
      <c r="J920" s="76"/>
      <c r="K920" s="76"/>
      <c r="L920" s="76"/>
      <c r="M920" s="76"/>
      <c r="N920" s="76"/>
      <c r="O920" s="76"/>
      <c r="P920" s="76"/>
      <c r="Q920" s="76"/>
      <c r="R920" s="76"/>
      <c r="S920" s="76"/>
      <c r="T920" s="76"/>
      <c r="U920" s="76"/>
      <c r="V920" s="76"/>
      <c r="W920" s="77"/>
    </row>
    <row r="921" spans="1:23" x14ac:dyDescent="0.3">
      <c r="A921" s="75"/>
      <c r="B921" s="76"/>
      <c r="C921" s="76"/>
      <c r="D921" s="76"/>
      <c r="E921" s="76"/>
      <c r="F921" s="76"/>
      <c r="G921" s="76"/>
      <c r="H921" s="76"/>
      <c r="I921" s="76"/>
      <c r="J921" s="76"/>
      <c r="K921" s="76"/>
      <c r="L921" s="76"/>
      <c r="M921" s="76"/>
      <c r="N921" s="76"/>
      <c r="O921" s="76"/>
      <c r="P921" s="76"/>
      <c r="Q921" s="76"/>
      <c r="R921" s="76"/>
      <c r="S921" s="76"/>
      <c r="T921" s="76"/>
      <c r="U921" s="76"/>
      <c r="V921" s="76"/>
      <c r="W921" s="77"/>
    </row>
    <row r="922" spans="1:23" x14ac:dyDescent="0.3">
      <c r="A922" s="75"/>
      <c r="B922" s="76"/>
      <c r="C922" s="76"/>
      <c r="D922" s="76"/>
      <c r="E922" s="76"/>
      <c r="F922" s="76"/>
      <c r="G922" s="76"/>
      <c r="H922" s="76"/>
      <c r="I922" s="76"/>
      <c r="J922" s="76"/>
      <c r="K922" s="76"/>
      <c r="L922" s="76"/>
      <c r="M922" s="76"/>
      <c r="N922" s="76"/>
      <c r="O922" s="76"/>
      <c r="P922" s="76"/>
      <c r="Q922" s="76"/>
      <c r="R922" s="76"/>
      <c r="S922" s="76"/>
      <c r="T922" s="76"/>
      <c r="U922" s="76"/>
      <c r="V922" s="76"/>
      <c r="W922" s="77"/>
    </row>
    <row r="923" spans="1:23" x14ac:dyDescent="0.3">
      <c r="A923" s="75"/>
      <c r="B923" s="76"/>
      <c r="C923" s="76"/>
      <c r="D923" s="76"/>
      <c r="E923" s="76"/>
      <c r="F923" s="76"/>
      <c r="G923" s="76"/>
      <c r="H923" s="76"/>
      <c r="I923" s="76"/>
      <c r="J923" s="76"/>
      <c r="K923" s="76"/>
      <c r="L923" s="76"/>
      <c r="M923" s="76"/>
      <c r="N923" s="76"/>
      <c r="O923" s="76"/>
      <c r="P923" s="76"/>
      <c r="Q923" s="76"/>
      <c r="R923" s="76"/>
      <c r="S923" s="76"/>
      <c r="T923" s="76"/>
      <c r="U923" s="76"/>
      <c r="V923" s="76"/>
      <c r="W923" s="77"/>
    </row>
    <row r="924" spans="1:23" x14ac:dyDescent="0.3">
      <c r="A924" s="75"/>
      <c r="B924" s="76"/>
      <c r="C924" s="76"/>
      <c r="D924" s="76"/>
      <c r="E924" s="76"/>
      <c r="F924" s="76"/>
      <c r="G924" s="76"/>
      <c r="H924" s="76"/>
      <c r="I924" s="76"/>
      <c r="J924" s="76"/>
      <c r="K924" s="76"/>
      <c r="L924" s="76"/>
      <c r="M924" s="76"/>
      <c r="N924" s="76"/>
      <c r="O924" s="76"/>
      <c r="P924" s="76"/>
      <c r="Q924" s="76"/>
      <c r="R924" s="76"/>
      <c r="S924" s="76"/>
      <c r="T924" s="76"/>
      <c r="U924" s="76"/>
      <c r="V924" s="76"/>
      <c r="W924" s="77"/>
    </row>
    <row r="925" spans="1:23" x14ac:dyDescent="0.3">
      <c r="A925" s="75"/>
      <c r="B925" s="76"/>
      <c r="C925" s="76"/>
      <c r="D925" s="76"/>
      <c r="E925" s="76"/>
      <c r="F925" s="76"/>
      <c r="G925" s="76"/>
      <c r="H925" s="76"/>
      <c r="I925" s="76"/>
      <c r="J925" s="76"/>
      <c r="K925" s="76"/>
      <c r="L925" s="76"/>
      <c r="M925" s="76"/>
      <c r="N925" s="76"/>
      <c r="O925" s="76"/>
      <c r="P925" s="76"/>
      <c r="Q925" s="76"/>
      <c r="R925" s="76"/>
      <c r="S925" s="76"/>
      <c r="T925" s="76"/>
      <c r="U925" s="76"/>
      <c r="V925" s="76"/>
      <c r="W925" s="77"/>
    </row>
    <row r="926" spans="1:23" x14ac:dyDescent="0.3">
      <c r="A926" s="75"/>
      <c r="B926" s="76"/>
      <c r="C926" s="76"/>
      <c r="D926" s="76"/>
      <c r="E926" s="76"/>
      <c r="F926" s="76"/>
      <c r="G926" s="76"/>
      <c r="H926" s="76"/>
      <c r="I926" s="76"/>
      <c r="J926" s="76"/>
      <c r="K926" s="76"/>
      <c r="L926" s="76"/>
      <c r="M926" s="76"/>
      <c r="N926" s="76"/>
      <c r="O926" s="76"/>
      <c r="P926" s="76"/>
      <c r="Q926" s="76"/>
      <c r="R926" s="76"/>
      <c r="S926" s="76"/>
      <c r="T926" s="76"/>
      <c r="U926" s="76"/>
      <c r="V926" s="76"/>
      <c r="W926" s="77"/>
    </row>
    <row r="927" spans="1:23" x14ac:dyDescent="0.3">
      <c r="A927" s="75"/>
      <c r="B927" s="76"/>
      <c r="C927" s="76"/>
      <c r="D927" s="76"/>
      <c r="E927" s="76"/>
      <c r="F927" s="76"/>
      <c r="G927" s="76"/>
      <c r="H927" s="76"/>
      <c r="I927" s="76"/>
      <c r="J927" s="76"/>
      <c r="K927" s="76"/>
      <c r="L927" s="76"/>
      <c r="M927" s="76"/>
      <c r="N927" s="76"/>
      <c r="O927" s="76"/>
      <c r="P927" s="76"/>
      <c r="Q927" s="76"/>
      <c r="R927" s="76"/>
      <c r="S927" s="76"/>
      <c r="T927" s="76"/>
      <c r="U927" s="76"/>
      <c r="V927" s="76"/>
      <c r="W927" s="77"/>
    </row>
    <row r="928" spans="1:23" x14ac:dyDescent="0.3">
      <c r="A928" s="75"/>
      <c r="B928" s="76"/>
      <c r="C928" s="76"/>
      <c r="D928" s="76"/>
      <c r="E928" s="76"/>
      <c r="F928" s="76"/>
      <c r="G928" s="76"/>
      <c r="H928" s="76"/>
      <c r="I928" s="76"/>
      <c r="J928" s="76"/>
      <c r="K928" s="76"/>
      <c r="L928" s="76"/>
      <c r="M928" s="76"/>
      <c r="N928" s="76"/>
      <c r="O928" s="76"/>
      <c r="P928" s="76"/>
      <c r="Q928" s="76"/>
      <c r="R928" s="76"/>
      <c r="S928" s="76"/>
      <c r="T928" s="76"/>
      <c r="U928" s="76"/>
      <c r="V928" s="76"/>
      <c r="W928" s="77"/>
    </row>
    <row r="929" spans="1:23" x14ac:dyDescent="0.3">
      <c r="A929" s="75"/>
      <c r="B929" s="76"/>
      <c r="C929" s="76"/>
      <c r="D929" s="76"/>
      <c r="E929" s="76"/>
      <c r="F929" s="76"/>
      <c r="G929" s="76"/>
      <c r="H929" s="76"/>
      <c r="I929" s="76"/>
      <c r="J929" s="76"/>
      <c r="K929" s="76"/>
      <c r="L929" s="76"/>
      <c r="M929" s="76"/>
      <c r="N929" s="76"/>
      <c r="O929" s="76"/>
      <c r="P929" s="76"/>
      <c r="Q929" s="76"/>
      <c r="R929" s="76"/>
      <c r="S929" s="76"/>
      <c r="T929" s="76"/>
      <c r="U929" s="76"/>
      <c r="V929" s="76"/>
      <c r="W929" s="77"/>
    </row>
    <row r="930" spans="1:23" x14ac:dyDescent="0.3">
      <c r="A930" s="75"/>
      <c r="B930" s="76"/>
      <c r="C930" s="76"/>
      <c r="D930" s="76"/>
      <c r="E930" s="76"/>
      <c r="F930" s="76"/>
      <c r="G930" s="76"/>
      <c r="H930" s="76"/>
      <c r="I930" s="76"/>
      <c r="J930" s="76"/>
      <c r="K930" s="76"/>
      <c r="L930" s="76"/>
      <c r="M930" s="76"/>
      <c r="N930" s="76"/>
      <c r="O930" s="76"/>
      <c r="P930" s="76"/>
      <c r="Q930" s="76"/>
      <c r="R930" s="76"/>
      <c r="S930" s="76"/>
      <c r="T930" s="76"/>
      <c r="U930" s="76"/>
      <c r="V930" s="76"/>
      <c r="W930" s="77"/>
    </row>
    <row r="931" spans="1:23" x14ac:dyDescent="0.3">
      <c r="A931" s="75"/>
      <c r="B931" s="76"/>
      <c r="C931" s="76"/>
      <c r="D931" s="76"/>
      <c r="E931" s="76"/>
      <c r="F931" s="76"/>
      <c r="G931" s="76"/>
      <c r="H931" s="76"/>
      <c r="I931" s="76"/>
      <c r="J931" s="76"/>
      <c r="K931" s="76"/>
      <c r="L931" s="76"/>
      <c r="M931" s="76"/>
      <c r="N931" s="76"/>
      <c r="O931" s="76"/>
      <c r="P931" s="76"/>
      <c r="Q931" s="76"/>
      <c r="R931" s="76"/>
      <c r="S931" s="76"/>
      <c r="T931" s="76"/>
      <c r="U931" s="76"/>
      <c r="V931" s="76"/>
      <c r="W931" s="77"/>
    </row>
    <row r="932" spans="1:23" x14ac:dyDescent="0.3">
      <c r="A932" s="75"/>
      <c r="B932" s="76"/>
      <c r="C932" s="76"/>
      <c r="D932" s="76"/>
      <c r="E932" s="76"/>
      <c r="F932" s="76"/>
      <c r="G932" s="76"/>
      <c r="H932" s="76"/>
      <c r="I932" s="76"/>
      <c r="J932" s="76"/>
      <c r="K932" s="76"/>
      <c r="L932" s="76"/>
      <c r="M932" s="76"/>
      <c r="N932" s="76"/>
      <c r="O932" s="76"/>
      <c r="P932" s="76"/>
      <c r="Q932" s="76"/>
      <c r="R932" s="76"/>
      <c r="S932" s="76"/>
      <c r="T932" s="76"/>
      <c r="U932" s="76"/>
      <c r="V932" s="76"/>
      <c r="W932" s="77"/>
    </row>
    <row r="933" spans="1:23" x14ac:dyDescent="0.3">
      <c r="A933" s="75"/>
      <c r="B933" s="76"/>
      <c r="C933" s="76"/>
      <c r="D933" s="76"/>
      <c r="E933" s="76"/>
      <c r="F933" s="76"/>
      <c r="G933" s="76"/>
      <c r="H933" s="76"/>
      <c r="I933" s="76"/>
      <c r="J933" s="76"/>
      <c r="K933" s="76"/>
      <c r="L933" s="76"/>
      <c r="M933" s="76"/>
      <c r="N933" s="76"/>
      <c r="O933" s="76"/>
      <c r="P933" s="76"/>
      <c r="Q933" s="76"/>
      <c r="R933" s="76"/>
      <c r="S933" s="76"/>
      <c r="T933" s="76"/>
      <c r="U933" s="76"/>
      <c r="V933" s="76"/>
      <c r="W933" s="77"/>
    </row>
    <row r="934" spans="1:23" x14ac:dyDescent="0.3">
      <c r="A934" s="75"/>
      <c r="B934" s="76"/>
      <c r="C934" s="76"/>
      <c r="D934" s="76"/>
      <c r="E934" s="76"/>
      <c r="F934" s="76"/>
      <c r="G934" s="76"/>
      <c r="H934" s="76"/>
      <c r="I934" s="76"/>
      <c r="J934" s="76"/>
      <c r="K934" s="76"/>
      <c r="L934" s="76"/>
      <c r="M934" s="76"/>
      <c r="N934" s="76"/>
      <c r="O934" s="76"/>
      <c r="P934" s="76"/>
      <c r="Q934" s="76"/>
      <c r="R934" s="76"/>
      <c r="S934" s="76"/>
      <c r="T934" s="76"/>
      <c r="U934" s="76"/>
      <c r="V934" s="76"/>
      <c r="W934" s="77"/>
    </row>
    <row r="935" spans="1:23" x14ac:dyDescent="0.3">
      <c r="A935" s="75"/>
      <c r="B935" s="76"/>
      <c r="C935" s="76"/>
      <c r="D935" s="76"/>
      <c r="E935" s="76"/>
      <c r="F935" s="76"/>
      <c r="G935" s="76"/>
      <c r="H935" s="76"/>
      <c r="I935" s="76"/>
      <c r="J935" s="76"/>
      <c r="K935" s="76"/>
      <c r="L935" s="76"/>
      <c r="M935" s="76"/>
      <c r="N935" s="76"/>
      <c r="O935" s="76"/>
      <c r="P935" s="76"/>
      <c r="Q935" s="76"/>
      <c r="R935" s="76"/>
      <c r="S935" s="76"/>
      <c r="T935" s="76"/>
      <c r="U935" s="76"/>
      <c r="V935" s="76"/>
      <c r="W935" s="77"/>
    </row>
    <row r="936" spans="1:23" x14ac:dyDescent="0.3">
      <c r="A936" s="75"/>
      <c r="B936" s="76"/>
      <c r="C936" s="76"/>
      <c r="D936" s="76"/>
      <c r="E936" s="76"/>
      <c r="F936" s="76"/>
      <c r="G936" s="76"/>
      <c r="H936" s="76"/>
      <c r="I936" s="76"/>
      <c r="J936" s="76"/>
      <c r="K936" s="76"/>
      <c r="L936" s="76"/>
      <c r="M936" s="76"/>
      <c r="N936" s="76"/>
      <c r="O936" s="76"/>
      <c r="P936" s="76"/>
      <c r="Q936" s="76"/>
      <c r="R936" s="76"/>
      <c r="S936" s="76"/>
      <c r="T936" s="76"/>
      <c r="U936" s="76"/>
      <c r="V936" s="76"/>
      <c r="W936" s="77"/>
    </row>
    <row r="937" spans="1:23" x14ac:dyDescent="0.3">
      <c r="A937" s="75"/>
      <c r="B937" s="76"/>
      <c r="C937" s="76"/>
      <c r="D937" s="76"/>
      <c r="E937" s="76"/>
      <c r="F937" s="76"/>
      <c r="G937" s="76"/>
      <c r="H937" s="76"/>
      <c r="I937" s="76"/>
      <c r="J937" s="76"/>
      <c r="K937" s="76"/>
      <c r="L937" s="76"/>
      <c r="M937" s="76"/>
      <c r="N937" s="76"/>
      <c r="O937" s="76"/>
      <c r="P937" s="76"/>
      <c r="Q937" s="76"/>
      <c r="R937" s="76"/>
      <c r="S937" s="76"/>
      <c r="T937" s="76"/>
      <c r="U937" s="76"/>
      <c r="V937" s="76"/>
      <c r="W937" s="77"/>
    </row>
    <row r="938" spans="1:23" x14ac:dyDescent="0.3">
      <c r="A938" s="75"/>
      <c r="B938" s="76"/>
      <c r="C938" s="76"/>
      <c r="D938" s="76"/>
      <c r="E938" s="76"/>
      <c r="F938" s="76"/>
      <c r="G938" s="76"/>
      <c r="H938" s="76"/>
      <c r="I938" s="76"/>
      <c r="J938" s="76"/>
      <c r="K938" s="76"/>
      <c r="L938" s="76"/>
      <c r="M938" s="76"/>
      <c r="N938" s="76"/>
      <c r="O938" s="76"/>
      <c r="P938" s="76"/>
      <c r="Q938" s="76"/>
      <c r="R938" s="76"/>
      <c r="S938" s="76"/>
      <c r="T938" s="76"/>
      <c r="U938" s="76"/>
      <c r="V938" s="76"/>
      <c r="W938" s="77"/>
    </row>
    <row r="939" spans="1:23" x14ac:dyDescent="0.3">
      <c r="A939" s="75"/>
      <c r="B939" s="76"/>
      <c r="C939" s="76"/>
      <c r="D939" s="76"/>
      <c r="E939" s="76"/>
      <c r="F939" s="76"/>
      <c r="G939" s="76"/>
      <c r="H939" s="76"/>
      <c r="I939" s="76"/>
      <c r="J939" s="76"/>
      <c r="K939" s="76"/>
      <c r="L939" s="76"/>
      <c r="M939" s="76"/>
      <c r="N939" s="76"/>
      <c r="O939" s="76"/>
      <c r="P939" s="76"/>
      <c r="Q939" s="76"/>
      <c r="R939" s="76"/>
      <c r="S939" s="76"/>
      <c r="T939" s="76"/>
      <c r="U939" s="76"/>
      <c r="V939" s="76"/>
      <c r="W939" s="77"/>
    </row>
    <row r="940" spans="1:23" x14ac:dyDescent="0.3">
      <c r="A940" s="75"/>
      <c r="B940" s="76"/>
      <c r="C940" s="76"/>
      <c r="D940" s="76"/>
      <c r="E940" s="76"/>
      <c r="F940" s="76"/>
      <c r="G940" s="76"/>
      <c r="H940" s="76"/>
      <c r="I940" s="76"/>
      <c r="J940" s="76"/>
      <c r="K940" s="76"/>
      <c r="L940" s="76"/>
      <c r="M940" s="76"/>
      <c r="N940" s="76"/>
      <c r="O940" s="76"/>
      <c r="P940" s="76"/>
      <c r="Q940" s="76"/>
      <c r="R940" s="76"/>
      <c r="S940" s="76"/>
      <c r="T940" s="76"/>
      <c r="U940" s="76"/>
      <c r="V940" s="76"/>
      <c r="W940" s="77"/>
    </row>
    <row r="941" spans="1:23" x14ac:dyDescent="0.3">
      <c r="A941" s="75"/>
      <c r="B941" s="76"/>
      <c r="C941" s="76"/>
      <c r="D941" s="76"/>
      <c r="E941" s="76"/>
      <c r="F941" s="76"/>
      <c r="G941" s="76"/>
      <c r="H941" s="76"/>
      <c r="I941" s="76"/>
      <c r="J941" s="76"/>
      <c r="K941" s="76"/>
      <c r="L941" s="76"/>
      <c r="M941" s="76"/>
      <c r="N941" s="76"/>
      <c r="O941" s="76"/>
      <c r="P941" s="76"/>
      <c r="Q941" s="76"/>
      <c r="R941" s="76"/>
      <c r="S941" s="76"/>
      <c r="T941" s="76"/>
      <c r="U941" s="76"/>
      <c r="V941" s="76"/>
      <c r="W941" s="77"/>
    </row>
    <row r="942" spans="1:23" x14ac:dyDescent="0.3">
      <c r="A942" s="75"/>
      <c r="B942" s="76"/>
      <c r="C942" s="76"/>
      <c r="D942" s="76"/>
      <c r="E942" s="76"/>
      <c r="F942" s="76"/>
      <c r="G942" s="76"/>
      <c r="H942" s="76"/>
      <c r="I942" s="76"/>
      <c r="J942" s="76"/>
      <c r="K942" s="76"/>
      <c r="L942" s="76"/>
      <c r="M942" s="76"/>
      <c r="N942" s="76"/>
      <c r="O942" s="76"/>
      <c r="P942" s="76"/>
      <c r="Q942" s="76"/>
      <c r="R942" s="76"/>
      <c r="S942" s="76"/>
      <c r="T942" s="76"/>
      <c r="U942" s="76"/>
      <c r="V942" s="76"/>
      <c r="W942" s="77"/>
    </row>
    <row r="943" spans="1:23" x14ac:dyDescent="0.3">
      <c r="A943" s="75"/>
      <c r="B943" s="76"/>
      <c r="C943" s="76"/>
      <c r="D943" s="76"/>
      <c r="E943" s="76"/>
      <c r="F943" s="76"/>
      <c r="G943" s="76"/>
      <c r="H943" s="76"/>
      <c r="I943" s="76"/>
      <c r="J943" s="76"/>
      <c r="K943" s="76"/>
      <c r="L943" s="76"/>
      <c r="M943" s="76"/>
      <c r="N943" s="76"/>
      <c r="O943" s="76"/>
      <c r="P943" s="76"/>
      <c r="Q943" s="76"/>
      <c r="R943" s="76"/>
      <c r="S943" s="76"/>
      <c r="T943" s="76"/>
      <c r="U943" s="76"/>
      <c r="V943" s="76"/>
      <c r="W943" s="77"/>
    </row>
    <row r="944" spans="1:23" x14ac:dyDescent="0.3">
      <c r="A944" s="75"/>
      <c r="B944" s="76"/>
      <c r="C944" s="76"/>
      <c r="D944" s="76"/>
      <c r="E944" s="76"/>
      <c r="F944" s="76"/>
      <c r="G944" s="76"/>
      <c r="H944" s="76"/>
      <c r="I944" s="76"/>
      <c r="J944" s="76"/>
      <c r="K944" s="76"/>
      <c r="L944" s="76"/>
      <c r="M944" s="76"/>
      <c r="N944" s="76"/>
      <c r="O944" s="76"/>
      <c r="P944" s="76"/>
      <c r="Q944" s="76"/>
      <c r="R944" s="76"/>
      <c r="S944" s="76"/>
      <c r="T944" s="76"/>
      <c r="U944" s="76"/>
      <c r="V944" s="76"/>
      <c r="W944" s="77"/>
    </row>
    <row r="945" spans="1:23" x14ac:dyDescent="0.3">
      <c r="A945" s="75"/>
      <c r="B945" s="76"/>
      <c r="C945" s="76"/>
      <c r="D945" s="76"/>
      <c r="E945" s="76"/>
      <c r="F945" s="76"/>
      <c r="G945" s="76"/>
      <c r="H945" s="76"/>
      <c r="I945" s="76"/>
      <c r="J945" s="76"/>
      <c r="K945" s="76"/>
      <c r="L945" s="76"/>
      <c r="M945" s="76"/>
      <c r="N945" s="76"/>
      <c r="O945" s="76"/>
      <c r="P945" s="76"/>
      <c r="Q945" s="76"/>
      <c r="R945" s="76"/>
      <c r="S945" s="76"/>
      <c r="T945" s="76"/>
      <c r="U945" s="76"/>
      <c r="V945" s="76"/>
      <c r="W945" s="77"/>
    </row>
    <row r="946" spans="1:23" x14ac:dyDescent="0.3">
      <c r="A946" s="75"/>
      <c r="B946" s="76"/>
      <c r="C946" s="76"/>
      <c r="D946" s="76"/>
      <c r="E946" s="76"/>
      <c r="F946" s="76"/>
      <c r="G946" s="76"/>
      <c r="H946" s="76"/>
      <c r="I946" s="76"/>
      <c r="J946" s="76"/>
      <c r="K946" s="76"/>
      <c r="L946" s="76"/>
      <c r="M946" s="76"/>
      <c r="N946" s="76"/>
      <c r="O946" s="76"/>
      <c r="P946" s="76"/>
      <c r="Q946" s="76"/>
      <c r="R946" s="76"/>
      <c r="S946" s="76"/>
      <c r="T946" s="76"/>
      <c r="U946" s="76"/>
      <c r="V946" s="76"/>
      <c r="W946" s="77"/>
    </row>
    <row r="947" spans="1:23" x14ac:dyDescent="0.3">
      <c r="A947" s="75"/>
      <c r="B947" s="76"/>
      <c r="C947" s="76"/>
      <c r="D947" s="76"/>
      <c r="E947" s="76"/>
      <c r="F947" s="76"/>
      <c r="G947" s="76"/>
      <c r="H947" s="76"/>
      <c r="I947" s="76"/>
      <c r="J947" s="76"/>
      <c r="K947" s="76"/>
      <c r="L947" s="76"/>
      <c r="M947" s="76"/>
      <c r="N947" s="76"/>
      <c r="O947" s="76"/>
      <c r="P947" s="76"/>
      <c r="Q947" s="76"/>
      <c r="R947" s="76"/>
      <c r="S947" s="76"/>
      <c r="T947" s="76"/>
      <c r="U947" s="76"/>
      <c r="V947" s="76"/>
      <c r="W947" s="77"/>
    </row>
    <row r="948" spans="1:23" x14ac:dyDescent="0.3">
      <c r="A948" s="75"/>
      <c r="B948" s="76"/>
      <c r="C948" s="76"/>
      <c r="D948" s="76"/>
      <c r="E948" s="76"/>
      <c r="F948" s="76"/>
      <c r="G948" s="76"/>
      <c r="H948" s="76"/>
      <c r="I948" s="76"/>
      <c r="J948" s="76"/>
      <c r="K948" s="76"/>
      <c r="L948" s="76"/>
      <c r="M948" s="76"/>
      <c r="N948" s="76"/>
      <c r="O948" s="76"/>
      <c r="P948" s="76"/>
      <c r="Q948" s="76"/>
      <c r="R948" s="76"/>
      <c r="S948" s="76"/>
      <c r="T948" s="76"/>
      <c r="U948" s="76"/>
      <c r="V948" s="76"/>
      <c r="W948" s="77"/>
    </row>
    <row r="949" spans="1:23" x14ac:dyDescent="0.3">
      <c r="A949" s="75"/>
      <c r="B949" s="76"/>
      <c r="C949" s="76"/>
      <c r="D949" s="76"/>
      <c r="E949" s="76"/>
      <c r="F949" s="76"/>
      <c r="G949" s="76"/>
      <c r="H949" s="76"/>
      <c r="I949" s="76"/>
      <c r="J949" s="76"/>
      <c r="K949" s="76"/>
      <c r="L949" s="76"/>
      <c r="M949" s="76"/>
      <c r="N949" s="76"/>
      <c r="O949" s="76"/>
      <c r="P949" s="76"/>
      <c r="Q949" s="76"/>
      <c r="R949" s="76"/>
      <c r="S949" s="76"/>
      <c r="T949" s="76"/>
      <c r="U949" s="76"/>
      <c r="V949" s="76"/>
      <c r="W949" s="77"/>
    </row>
    <row r="950" spans="1:23" x14ac:dyDescent="0.3">
      <c r="A950" s="75"/>
      <c r="B950" s="76"/>
      <c r="C950" s="76"/>
      <c r="D950" s="76"/>
      <c r="E950" s="76"/>
      <c r="F950" s="76"/>
      <c r="G950" s="76"/>
      <c r="H950" s="76"/>
      <c r="I950" s="76"/>
      <c r="J950" s="76"/>
      <c r="K950" s="76"/>
      <c r="L950" s="76"/>
      <c r="M950" s="76"/>
      <c r="N950" s="76"/>
      <c r="O950" s="76"/>
      <c r="P950" s="76"/>
      <c r="Q950" s="76"/>
      <c r="R950" s="76"/>
      <c r="S950" s="76"/>
      <c r="T950" s="76"/>
      <c r="U950" s="76"/>
      <c r="V950" s="76"/>
      <c r="W950" s="77"/>
    </row>
    <row r="951" spans="1:23" x14ac:dyDescent="0.3">
      <c r="A951" s="75"/>
      <c r="B951" s="76"/>
      <c r="C951" s="76"/>
      <c r="D951" s="76"/>
      <c r="E951" s="76"/>
      <c r="F951" s="76"/>
      <c r="G951" s="76"/>
      <c r="H951" s="76"/>
      <c r="I951" s="76"/>
      <c r="J951" s="76"/>
      <c r="K951" s="76"/>
      <c r="L951" s="76"/>
      <c r="M951" s="76"/>
      <c r="N951" s="76"/>
      <c r="O951" s="76"/>
      <c r="P951" s="76"/>
      <c r="Q951" s="76"/>
      <c r="R951" s="76"/>
      <c r="S951" s="76"/>
      <c r="T951" s="76"/>
      <c r="U951" s="76"/>
      <c r="V951" s="76"/>
      <c r="W951" s="77"/>
    </row>
    <row r="952" spans="1:23" x14ac:dyDescent="0.3">
      <c r="A952" s="75"/>
      <c r="B952" s="76"/>
      <c r="C952" s="76"/>
      <c r="D952" s="76"/>
      <c r="E952" s="76"/>
      <c r="F952" s="76"/>
      <c r="G952" s="76"/>
      <c r="H952" s="76"/>
      <c r="I952" s="76"/>
      <c r="J952" s="76"/>
      <c r="K952" s="76"/>
      <c r="L952" s="76"/>
      <c r="M952" s="76"/>
      <c r="N952" s="76"/>
      <c r="O952" s="76"/>
      <c r="P952" s="76"/>
      <c r="Q952" s="76"/>
      <c r="R952" s="76"/>
      <c r="S952" s="76"/>
      <c r="T952" s="76"/>
      <c r="U952" s="76"/>
      <c r="V952" s="76"/>
      <c r="W952" s="77"/>
    </row>
    <row r="953" spans="1:23" x14ac:dyDescent="0.3">
      <c r="A953" s="75"/>
      <c r="B953" s="76"/>
      <c r="C953" s="76"/>
      <c r="D953" s="76"/>
      <c r="E953" s="76"/>
      <c r="F953" s="76"/>
      <c r="G953" s="76"/>
      <c r="H953" s="76"/>
      <c r="I953" s="76"/>
      <c r="J953" s="76"/>
      <c r="K953" s="76"/>
      <c r="L953" s="76"/>
      <c r="M953" s="76"/>
      <c r="N953" s="76"/>
      <c r="O953" s="76"/>
      <c r="P953" s="76"/>
      <c r="Q953" s="76"/>
      <c r="R953" s="76"/>
      <c r="S953" s="76"/>
      <c r="T953" s="76"/>
      <c r="U953" s="76"/>
      <c r="V953" s="76"/>
      <c r="W953" s="77"/>
    </row>
    <row r="954" spans="1:23" x14ac:dyDescent="0.3">
      <c r="A954" s="75"/>
      <c r="B954" s="76"/>
      <c r="C954" s="76"/>
      <c r="D954" s="76"/>
      <c r="E954" s="76"/>
      <c r="F954" s="76"/>
      <c r="G954" s="76"/>
      <c r="H954" s="76"/>
      <c r="I954" s="76"/>
      <c r="J954" s="76"/>
      <c r="K954" s="76"/>
      <c r="L954" s="76"/>
      <c r="M954" s="76"/>
      <c r="N954" s="76"/>
      <c r="O954" s="76"/>
      <c r="P954" s="76"/>
      <c r="Q954" s="76"/>
      <c r="R954" s="76"/>
      <c r="S954" s="76"/>
      <c r="T954" s="76"/>
      <c r="U954" s="76"/>
      <c r="V954" s="76"/>
      <c r="W954" s="77"/>
    </row>
    <row r="955" spans="1:23" x14ac:dyDescent="0.3">
      <c r="A955" s="75"/>
      <c r="B955" s="76"/>
      <c r="C955" s="76"/>
      <c r="D955" s="76"/>
      <c r="E955" s="76"/>
      <c r="F955" s="76"/>
      <c r="G955" s="76"/>
      <c r="H955" s="76"/>
      <c r="I955" s="76"/>
      <c r="J955" s="76"/>
      <c r="K955" s="76"/>
      <c r="L955" s="76"/>
      <c r="M955" s="76"/>
      <c r="N955" s="76"/>
      <c r="O955" s="76"/>
      <c r="P955" s="76"/>
      <c r="Q955" s="76"/>
      <c r="R955" s="76"/>
      <c r="S955" s="76"/>
      <c r="T955" s="76"/>
      <c r="U955" s="76"/>
      <c r="V955" s="76"/>
      <c r="W955" s="77"/>
    </row>
    <row r="956" spans="1:23" x14ac:dyDescent="0.3">
      <c r="A956" s="75"/>
      <c r="B956" s="76"/>
      <c r="C956" s="76"/>
      <c r="D956" s="76"/>
      <c r="E956" s="76"/>
      <c r="F956" s="76"/>
      <c r="G956" s="76"/>
      <c r="H956" s="76"/>
      <c r="I956" s="76"/>
      <c r="J956" s="76"/>
      <c r="K956" s="76"/>
      <c r="L956" s="76"/>
      <c r="M956" s="76"/>
      <c r="N956" s="76"/>
      <c r="O956" s="76"/>
      <c r="P956" s="76"/>
      <c r="Q956" s="76"/>
      <c r="R956" s="76"/>
      <c r="S956" s="76"/>
      <c r="T956" s="76"/>
      <c r="U956" s="76"/>
      <c r="V956" s="76"/>
      <c r="W956" s="77"/>
    </row>
    <row r="957" spans="1:23" x14ac:dyDescent="0.3">
      <c r="A957" s="75"/>
      <c r="B957" s="76"/>
      <c r="C957" s="76"/>
      <c r="D957" s="76"/>
      <c r="E957" s="76"/>
      <c r="F957" s="76"/>
      <c r="G957" s="76"/>
      <c r="H957" s="76"/>
      <c r="I957" s="76"/>
      <c r="J957" s="76"/>
      <c r="K957" s="76"/>
      <c r="L957" s="76"/>
      <c r="M957" s="76"/>
      <c r="N957" s="76"/>
      <c r="O957" s="76"/>
      <c r="P957" s="76"/>
      <c r="Q957" s="76"/>
      <c r="R957" s="76"/>
      <c r="S957" s="76"/>
      <c r="T957" s="76"/>
      <c r="U957" s="76"/>
      <c r="V957" s="76"/>
      <c r="W957" s="77"/>
    </row>
    <row r="958" spans="1:23" x14ac:dyDescent="0.3">
      <c r="A958" s="75"/>
      <c r="B958" s="76"/>
      <c r="C958" s="76"/>
      <c r="D958" s="76"/>
      <c r="E958" s="76"/>
      <c r="F958" s="76"/>
      <c r="G958" s="76"/>
      <c r="H958" s="76"/>
      <c r="I958" s="76"/>
      <c r="J958" s="76"/>
      <c r="K958" s="76"/>
      <c r="L958" s="76"/>
      <c r="M958" s="76"/>
      <c r="N958" s="76"/>
      <c r="O958" s="76"/>
      <c r="P958" s="76"/>
      <c r="Q958" s="76"/>
      <c r="R958" s="76"/>
      <c r="S958" s="76"/>
      <c r="T958" s="76"/>
      <c r="U958" s="76"/>
      <c r="V958" s="76"/>
      <c r="W958" s="77"/>
    </row>
    <row r="959" spans="1:23" x14ac:dyDescent="0.3">
      <c r="A959" s="75"/>
      <c r="B959" s="76"/>
      <c r="C959" s="76"/>
      <c r="D959" s="76"/>
      <c r="E959" s="76"/>
      <c r="F959" s="76"/>
      <c r="G959" s="76"/>
      <c r="H959" s="76"/>
      <c r="I959" s="76"/>
      <c r="J959" s="76"/>
      <c r="K959" s="76"/>
      <c r="L959" s="76"/>
      <c r="M959" s="76"/>
      <c r="N959" s="76"/>
      <c r="O959" s="76"/>
      <c r="P959" s="76"/>
      <c r="Q959" s="76"/>
      <c r="R959" s="76"/>
      <c r="S959" s="76"/>
      <c r="T959" s="76"/>
      <c r="U959" s="76"/>
      <c r="V959" s="76"/>
      <c r="W959" s="77"/>
    </row>
    <row r="960" spans="1:23" x14ac:dyDescent="0.3">
      <c r="A960" s="75"/>
      <c r="B960" s="76"/>
      <c r="C960" s="76"/>
      <c r="D960" s="76"/>
      <c r="E960" s="76"/>
      <c r="F960" s="76"/>
      <c r="G960" s="76"/>
      <c r="H960" s="76"/>
      <c r="I960" s="76"/>
      <c r="J960" s="76"/>
      <c r="K960" s="76"/>
      <c r="L960" s="76"/>
      <c r="M960" s="76"/>
      <c r="N960" s="76"/>
      <c r="O960" s="76"/>
      <c r="P960" s="76"/>
      <c r="Q960" s="76"/>
      <c r="R960" s="76"/>
      <c r="S960" s="76"/>
      <c r="T960" s="76"/>
      <c r="U960" s="76"/>
      <c r="V960" s="76"/>
      <c r="W960" s="77"/>
    </row>
    <row r="961" spans="1:23" x14ac:dyDescent="0.3">
      <c r="A961" s="75"/>
      <c r="B961" s="76"/>
      <c r="C961" s="76"/>
      <c r="D961" s="76"/>
      <c r="E961" s="76"/>
      <c r="F961" s="76"/>
      <c r="G961" s="76"/>
      <c r="H961" s="76"/>
      <c r="I961" s="76"/>
      <c r="J961" s="76"/>
      <c r="K961" s="76"/>
      <c r="L961" s="76"/>
      <c r="M961" s="76"/>
      <c r="N961" s="76"/>
      <c r="O961" s="76"/>
      <c r="P961" s="76"/>
      <c r="Q961" s="76"/>
      <c r="R961" s="76"/>
      <c r="S961" s="76"/>
      <c r="T961" s="76"/>
      <c r="U961" s="76"/>
      <c r="V961" s="76"/>
      <c r="W961" s="77"/>
    </row>
    <row r="962" spans="1:23" x14ac:dyDescent="0.3">
      <c r="A962" s="75"/>
      <c r="B962" s="76"/>
      <c r="C962" s="76"/>
      <c r="D962" s="76"/>
      <c r="E962" s="76"/>
      <c r="F962" s="76"/>
      <c r="G962" s="76"/>
      <c r="H962" s="76"/>
      <c r="I962" s="76"/>
      <c r="J962" s="76"/>
      <c r="K962" s="76"/>
      <c r="L962" s="76"/>
      <c r="M962" s="76"/>
      <c r="N962" s="76"/>
      <c r="O962" s="76"/>
      <c r="P962" s="76"/>
      <c r="Q962" s="76"/>
      <c r="R962" s="76"/>
      <c r="S962" s="76"/>
      <c r="T962" s="76"/>
      <c r="U962" s="76"/>
      <c r="V962" s="76"/>
      <c r="W962" s="77"/>
    </row>
    <row r="963" spans="1:23" x14ac:dyDescent="0.3">
      <c r="A963" s="75"/>
      <c r="B963" s="76"/>
      <c r="C963" s="76"/>
      <c r="D963" s="76"/>
      <c r="E963" s="76"/>
      <c r="F963" s="76"/>
      <c r="G963" s="76"/>
      <c r="H963" s="76"/>
      <c r="I963" s="76"/>
      <c r="J963" s="76"/>
      <c r="K963" s="76"/>
      <c r="L963" s="76"/>
      <c r="M963" s="76"/>
      <c r="N963" s="76"/>
      <c r="O963" s="76"/>
      <c r="P963" s="76"/>
      <c r="Q963" s="76"/>
      <c r="R963" s="76"/>
      <c r="S963" s="76"/>
      <c r="T963" s="76"/>
      <c r="U963" s="76"/>
      <c r="V963" s="76"/>
      <c r="W963" s="77"/>
    </row>
    <row r="964" spans="1:23" x14ac:dyDescent="0.3">
      <c r="A964" s="75"/>
      <c r="B964" s="76"/>
      <c r="C964" s="76"/>
      <c r="D964" s="76"/>
      <c r="E964" s="76"/>
      <c r="F964" s="76"/>
      <c r="G964" s="76"/>
      <c r="H964" s="76"/>
      <c r="I964" s="76"/>
      <c r="J964" s="76"/>
      <c r="K964" s="76"/>
      <c r="L964" s="76"/>
      <c r="M964" s="76"/>
      <c r="N964" s="76"/>
      <c r="O964" s="76"/>
      <c r="P964" s="76"/>
      <c r="Q964" s="76"/>
      <c r="R964" s="76"/>
      <c r="S964" s="76"/>
      <c r="T964" s="76"/>
      <c r="U964" s="76"/>
      <c r="V964" s="76"/>
      <c r="W964" s="77"/>
    </row>
    <row r="965" spans="1:23" x14ac:dyDescent="0.3">
      <c r="A965" s="75"/>
      <c r="B965" s="76"/>
      <c r="C965" s="76"/>
      <c r="D965" s="76"/>
      <c r="E965" s="76"/>
      <c r="F965" s="76"/>
      <c r="G965" s="76"/>
      <c r="H965" s="76"/>
      <c r="I965" s="76"/>
      <c r="J965" s="76"/>
      <c r="K965" s="76"/>
      <c r="L965" s="76"/>
      <c r="M965" s="76"/>
      <c r="N965" s="76"/>
      <c r="O965" s="76"/>
      <c r="P965" s="76"/>
      <c r="Q965" s="76"/>
      <c r="R965" s="76"/>
      <c r="S965" s="76"/>
      <c r="T965" s="76"/>
      <c r="U965" s="76"/>
      <c r="V965" s="76"/>
      <c r="W965" s="77"/>
    </row>
    <row r="966" spans="1:23" x14ac:dyDescent="0.3">
      <c r="A966" s="75"/>
      <c r="B966" s="76"/>
      <c r="C966" s="76"/>
      <c r="D966" s="76"/>
      <c r="E966" s="76"/>
      <c r="F966" s="76"/>
      <c r="G966" s="76"/>
      <c r="H966" s="76"/>
      <c r="I966" s="76"/>
      <c r="J966" s="76"/>
      <c r="K966" s="76"/>
      <c r="L966" s="76"/>
      <c r="M966" s="76"/>
      <c r="N966" s="76"/>
      <c r="O966" s="76"/>
      <c r="P966" s="76"/>
      <c r="Q966" s="76"/>
      <c r="R966" s="76"/>
      <c r="S966" s="76"/>
      <c r="T966" s="76"/>
      <c r="U966" s="76"/>
      <c r="V966" s="76"/>
      <c r="W966" s="77"/>
    </row>
    <row r="967" spans="1:23" x14ac:dyDescent="0.3">
      <c r="A967" s="75"/>
      <c r="B967" s="76"/>
      <c r="C967" s="76"/>
      <c r="D967" s="76"/>
      <c r="E967" s="76"/>
      <c r="F967" s="76"/>
      <c r="G967" s="76"/>
      <c r="H967" s="76"/>
      <c r="I967" s="76"/>
      <c r="J967" s="76"/>
      <c r="K967" s="76"/>
      <c r="L967" s="76"/>
      <c r="M967" s="76"/>
      <c r="N967" s="76"/>
      <c r="O967" s="76"/>
      <c r="P967" s="76"/>
      <c r="Q967" s="76"/>
      <c r="R967" s="76"/>
      <c r="S967" s="76"/>
      <c r="T967" s="76"/>
      <c r="U967" s="76"/>
      <c r="V967" s="76"/>
      <c r="W967" s="77"/>
    </row>
    <row r="968" spans="1:23" x14ac:dyDescent="0.3">
      <c r="A968" s="75"/>
      <c r="B968" s="76"/>
      <c r="C968" s="76"/>
      <c r="D968" s="76"/>
      <c r="E968" s="76"/>
      <c r="F968" s="76"/>
      <c r="G968" s="76"/>
      <c r="H968" s="76"/>
      <c r="I968" s="76"/>
      <c r="J968" s="76"/>
      <c r="K968" s="76"/>
      <c r="L968" s="76"/>
      <c r="M968" s="76"/>
      <c r="N968" s="76"/>
      <c r="O968" s="76"/>
      <c r="P968" s="76"/>
      <c r="Q968" s="76"/>
      <c r="R968" s="76"/>
      <c r="S968" s="76"/>
      <c r="T968" s="76"/>
      <c r="U968" s="76"/>
      <c r="V968" s="76"/>
      <c r="W968" s="77"/>
    </row>
    <row r="969" spans="1:23" x14ac:dyDescent="0.3">
      <c r="A969" s="75"/>
      <c r="B969" s="76"/>
      <c r="C969" s="76"/>
      <c r="D969" s="76"/>
      <c r="E969" s="76"/>
      <c r="F969" s="76"/>
      <c r="G969" s="76"/>
      <c r="H969" s="76"/>
      <c r="I969" s="76"/>
      <c r="J969" s="76"/>
      <c r="K969" s="76"/>
      <c r="L969" s="76"/>
      <c r="M969" s="76"/>
      <c r="N969" s="76"/>
      <c r="O969" s="76"/>
      <c r="P969" s="76"/>
      <c r="Q969" s="76"/>
      <c r="R969" s="76"/>
      <c r="S969" s="76"/>
      <c r="T969" s="76"/>
      <c r="U969" s="76"/>
      <c r="V969" s="76"/>
      <c r="W969" s="77"/>
    </row>
    <row r="970" spans="1:23" x14ac:dyDescent="0.3">
      <c r="A970" s="75"/>
      <c r="B970" s="76"/>
      <c r="C970" s="76"/>
      <c r="D970" s="76"/>
      <c r="E970" s="76"/>
      <c r="F970" s="76"/>
      <c r="G970" s="76"/>
      <c r="H970" s="76"/>
      <c r="I970" s="76"/>
      <c r="J970" s="76"/>
      <c r="K970" s="76"/>
      <c r="L970" s="76"/>
      <c r="M970" s="76"/>
      <c r="N970" s="76"/>
      <c r="O970" s="76"/>
      <c r="P970" s="76"/>
      <c r="Q970" s="76"/>
      <c r="R970" s="76"/>
      <c r="S970" s="76"/>
      <c r="T970" s="76"/>
      <c r="U970" s="76"/>
      <c r="V970" s="76"/>
      <c r="W970" s="77"/>
    </row>
    <row r="971" spans="1:23" x14ac:dyDescent="0.3">
      <c r="A971" s="75"/>
      <c r="B971" s="76"/>
      <c r="C971" s="76"/>
      <c r="D971" s="76"/>
      <c r="E971" s="76"/>
      <c r="F971" s="76"/>
      <c r="G971" s="76"/>
      <c r="H971" s="76"/>
      <c r="I971" s="76"/>
      <c r="J971" s="76"/>
      <c r="K971" s="76"/>
      <c r="L971" s="76"/>
      <c r="M971" s="76"/>
      <c r="N971" s="76"/>
      <c r="O971" s="76"/>
      <c r="P971" s="76"/>
      <c r="Q971" s="76"/>
      <c r="R971" s="76"/>
      <c r="S971" s="76"/>
      <c r="T971" s="76"/>
      <c r="U971" s="76"/>
      <c r="V971" s="76"/>
      <c r="W971" s="77"/>
    </row>
    <row r="972" spans="1:23" x14ac:dyDescent="0.3">
      <c r="A972" s="75"/>
      <c r="B972" s="76"/>
      <c r="C972" s="76"/>
      <c r="D972" s="76"/>
      <c r="E972" s="76"/>
      <c r="F972" s="76"/>
      <c r="G972" s="76"/>
      <c r="H972" s="76"/>
      <c r="I972" s="76"/>
      <c r="J972" s="76"/>
      <c r="K972" s="76"/>
      <c r="L972" s="76"/>
      <c r="M972" s="76"/>
      <c r="N972" s="76"/>
      <c r="O972" s="76"/>
      <c r="P972" s="76"/>
      <c r="Q972" s="76"/>
      <c r="R972" s="76"/>
      <c r="S972" s="76"/>
      <c r="T972" s="76"/>
      <c r="U972" s="76"/>
      <c r="V972" s="76"/>
      <c r="W972" s="77"/>
    </row>
    <row r="973" spans="1:23" x14ac:dyDescent="0.3">
      <c r="A973" s="75"/>
      <c r="B973" s="76"/>
      <c r="C973" s="76"/>
      <c r="D973" s="76"/>
      <c r="E973" s="76"/>
      <c r="F973" s="76"/>
      <c r="G973" s="76"/>
      <c r="H973" s="76"/>
      <c r="I973" s="76"/>
      <c r="J973" s="76"/>
      <c r="K973" s="76"/>
      <c r="L973" s="76"/>
      <c r="M973" s="76"/>
      <c r="N973" s="76"/>
      <c r="O973" s="76"/>
      <c r="P973" s="76"/>
      <c r="Q973" s="76"/>
      <c r="R973" s="76"/>
      <c r="S973" s="76"/>
      <c r="T973" s="76"/>
      <c r="U973" s="76"/>
      <c r="V973" s="76"/>
      <c r="W973" s="77"/>
    </row>
    <row r="974" spans="1:23" x14ac:dyDescent="0.3">
      <c r="A974" s="75"/>
      <c r="B974" s="76"/>
      <c r="C974" s="76"/>
      <c r="D974" s="76"/>
      <c r="E974" s="76"/>
      <c r="F974" s="76"/>
      <c r="G974" s="76"/>
      <c r="H974" s="76"/>
      <c r="I974" s="76"/>
      <c r="J974" s="76"/>
      <c r="K974" s="76"/>
      <c r="L974" s="76"/>
      <c r="M974" s="76"/>
      <c r="N974" s="76"/>
      <c r="O974" s="76"/>
      <c r="P974" s="76"/>
      <c r="Q974" s="76"/>
      <c r="R974" s="76"/>
      <c r="S974" s="76"/>
      <c r="T974" s="76"/>
      <c r="U974" s="76"/>
      <c r="V974" s="76"/>
      <c r="W974" s="77"/>
    </row>
    <row r="975" spans="1:23" x14ac:dyDescent="0.3">
      <c r="A975" s="75"/>
      <c r="B975" s="76"/>
      <c r="C975" s="76"/>
      <c r="D975" s="76"/>
      <c r="E975" s="76"/>
      <c r="F975" s="76"/>
      <c r="G975" s="76"/>
      <c r="H975" s="76"/>
      <c r="I975" s="76"/>
      <c r="J975" s="76"/>
      <c r="K975" s="76"/>
      <c r="L975" s="76"/>
      <c r="M975" s="76"/>
      <c r="N975" s="76"/>
      <c r="O975" s="76"/>
      <c r="P975" s="76"/>
      <c r="Q975" s="76"/>
      <c r="R975" s="76"/>
      <c r="S975" s="76"/>
      <c r="T975" s="76"/>
      <c r="U975" s="76"/>
      <c r="V975" s="76"/>
      <c r="W975" s="77"/>
    </row>
    <row r="976" spans="1:23" x14ac:dyDescent="0.3">
      <c r="A976" s="75"/>
      <c r="B976" s="76"/>
      <c r="C976" s="76"/>
      <c r="D976" s="76"/>
      <c r="E976" s="76"/>
      <c r="F976" s="76"/>
      <c r="G976" s="76"/>
      <c r="H976" s="76"/>
      <c r="I976" s="76"/>
      <c r="J976" s="76"/>
      <c r="K976" s="76"/>
      <c r="L976" s="76"/>
      <c r="M976" s="76"/>
      <c r="N976" s="76"/>
      <c r="O976" s="76"/>
      <c r="P976" s="76"/>
      <c r="Q976" s="76"/>
      <c r="R976" s="76"/>
      <c r="S976" s="76"/>
      <c r="T976" s="76"/>
      <c r="U976" s="76"/>
      <c r="V976" s="76"/>
      <c r="W976" s="77"/>
    </row>
    <row r="977" spans="1:23" x14ac:dyDescent="0.3">
      <c r="A977" s="75"/>
      <c r="B977" s="76"/>
      <c r="C977" s="76"/>
      <c r="D977" s="76"/>
      <c r="E977" s="76"/>
      <c r="F977" s="76"/>
      <c r="G977" s="76"/>
      <c r="H977" s="76"/>
      <c r="I977" s="76"/>
      <c r="J977" s="76"/>
      <c r="K977" s="76"/>
      <c r="L977" s="76"/>
      <c r="M977" s="76"/>
      <c r="N977" s="76"/>
      <c r="O977" s="76"/>
      <c r="P977" s="76"/>
      <c r="Q977" s="76"/>
      <c r="R977" s="76"/>
      <c r="S977" s="76"/>
      <c r="T977" s="76"/>
      <c r="U977" s="76"/>
      <c r="V977" s="76"/>
      <c r="W977" s="77"/>
    </row>
    <row r="978" spans="1:23" x14ac:dyDescent="0.3">
      <c r="A978" s="75"/>
      <c r="B978" s="76"/>
      <c r="C978" s="76"/>
      <c r="D978" s="76"/>
      <c r="E978" s="76"/>
      <c r="F978" s="76"/>
      <c r="G978" s="76"/>
      <c r="H978" s="76"/>
      <c r="I978" s="76"/>
      <c r="J978" s="76"/>
      <c r="K978" s="76"/>
      <c r="L978" s="76"/>
      <c r="M978" s="76"/>
      <c r="N978" s="76"/>
      <c r="O978" s="76"/>
      <c r="P978" s="76"/>
      <c r="Q978" s="76"/>
      <c r="R978" s="76"/>
      <c r="S978" s="76"/>
      <c r="T978" s="76"/>
      <c r="U978" s="76"/>
      <c r="V978" s="76"/>
      <c r="W978" s="77"/>
    </row>
    <row r="979" spans="1:23" x14ac:dyDescent="0.3">
      <c r="A979" s="75"/>
      <c r="B979" s="76"/>
      <c r="C979" s="76"/>
      <c r="D979" s="76"/>
      <c r="E979" s="76"/>
      <c r="F979" s="76"/>
      <c r="G979" s="76"/>
      <c r="H979" s="76"/>
      <c r="I979" s="76"/>
      <c r="J979" s="76"/>
      <c r="K979" s="76"/>
      <c r="L979" s="76"/>
      <c r="M979" s="76"/>
      <c r="N979" s="76"/>
      <c r="O979" s="76"/>
      <c r="P979" s="76"/>
      <c r="Q979" s="76"/>
      <c r="R979" s="76"/>
      <c r="S979" s="76"/>
      <c r="T979" s="76"/>
      <c r="U979" s="76"/>
      <c r="V979" s="76"/>
      <c r="W979" s="77"/>
    </row>
    <row r="980" spans="1:23" x14ac:dyDescent="0.3">
      <c r="A980" s="75"/>
      <c r="B980" s="76"/>
      <c r="C980" s="76"/>
      <c r="D980" s="76"/>
      <c r="E980" s="76"/>
      <c r="F980" s="76"/>
      <c r="G980" s="76"/>
      <c r="H980" s="76"/>
      <c r="I980" s="76"/>
      <c r="J980" s="76"/>
      <c r="K980" s="76"/>
      <c r="L980" s="76"/>
      <c r="M980" s="76"/>
      <c r="N980" s="76"/>
      <c r="O980" s="76"/>
      <c r="P980" s="76"/>
      <c r="Q980" s="76"/>
      <c r="R980" s="76"/>
      <c r="S980" s="76"/>
      <c r="T980" s="76"/>
      <c r="U980" s="76"/>
      <c r="V980" s="76"/>
      <c r="W980" s="77"/>
    </row>
    <row r="981" spans="1:23" x14ac:dyDescent="0.3">
      <c r="A981" s="75"/>
      <c r="B981" s="76"/>
      <c r="C981" s="76"/>
      <c r="D981" s="76"/>
      <c r="E981" s="76"/>
      <c r="F981" s="76"/>
      <c r="G981" s="76"/>
      <c r="H981" s="76"/>
      <c r="I981" s="76"/>
      <c r="J981" s="76"/>
      <c r="K981" s="76"/>
      <c r="L981" s="76"/>
      <c r="M981" s="76"/>
      <c r="N981" s="76"/>
      <c r="O981" s="76"/>
      <c r="P981" s="76"/>
      <c r="Q981" s="76"/>
      <c r="R981" s="76"/>
      <c r="S981" s="76"/>
      <c r="T981" s="76"/>
      <c r="U981" s="76"/>
      <c r="V981" s="76"/>
      <c r="W981" s="77"/>
    </row>
    <row r="982" spans="1:23" x14ac:dyDescent="0.3">
      <c r="A982" s="75"/>
      <c r="B982" s="76"/>
      <c r="C982" s="76"/>
      <c r="D982" s="76"/>
      <c r="E982" s="76"/>
      <c r="F982" s="76"/>
      <c r="G982" s="76"/>
      <c r="H982" s="76"/>
      <c r="I982" s="76"/>
      <c r="J982" s="76"/>
      <c r="K982" s="76"/>
      <c r="L982" s="76"/>
      <c r="M982" s="76"/>
      <c r="N982" s="76"/>
      <c r="O982" s="76"/>
      <c r="P982" s="76"/>
      <c r="Q982" s="76"/>
      <c r="R982" s="76"/>
      <c r="S982" s="76"/>
      <c r="T982" s="76"/>
      <c r="U982" s="76"/>
      <c r="V982" s="76"/>
      <c r="W982" s="77"/>
    </row>
    <row r="983" spans="1:23" x14ac:dyDescent="0.3">
      <c r="A983" s="75"/>
      <c r="B983" s="76"/>
      <c r="C983" s="76"/>
      <c r="D983" s="76"/>
      <c r="E983" s="76"/>
      <c r="F983" s="76"/>
      <c r="G983" s="76"/>
      <c r="H983" s="76"/>
      <c r="I983" s="76"/>
      <c r="J983" s="76"/>
      <c r="K983" s="76"/>
      <c r="L983" s="76"/>
      <c r="M983" s="76"/>
      <c r="N983" s="76"/>
      <c r="O983" s="76"/>
      <c r="P983" s="76"/>
      <c r="Q983" s="76"/>
      <c r="R983" s="76"/>
      <c r="S983" s="76"/>
      <c r="T983" s="76"/>
      <c r="U983" s="76"/>
      <c r="V983" s="76"/>
      <c r="W983" s="77"/>
    </row>
    <row r="984" spans="1:23" x14ac:dyDescent="0.3">
      <c r="A984" s="75"/>
      <c r="B984" s="76"/>
      <c r="C984" s="76"/>
      <c r="D984" s="76"/>
      <c r="E984" s="76"/>
      <c r="F984" s="76"/>
      <c r="G984" s="76"/>
      <c r="H984" s="76"/>
      <c r="I984" s="76"/>
      <c r="J984" s="76"/>
      <c r="K984" s="76"/>
      <c r="L984" s="76"/>
      <c r="M984" s="76"/>
      <c r="N984" s="76"/>
      <c r="O984" s="76"/>
      <c r="P984" s="76"/>
      <c r="Q984" s="76"/>
      <c r="R984" s="76"/>
      <c r="S984" s="76"/>
      <c r="T984" s="76"/>
      <c r="U984" s="76"/>
      <c r="V984" s="76"/>
      <c r="W984" s="77"/>
    </row>
    <row r="985" spans="1:23" x14ac:dyDescent="0.3">
      <c r="A985" s="75"/>
      <c r="B985" s="76"/>
      <c r="C985" s="76"/>
      <c r="D985" s="76"/>
      <c r="E985" s="76"/>
      <c r="F985" s="76"/>
      <c r="G985" s="76"/>
      <c r="H985" s="76"/>
      <c r="I985" s="76"/>
      <c r="J985" s="76"/>
      <c r="K985" s="76"/>
      <c r="L985" s="76"/>
      <c r="M985" s="76"/>
      <c r="N985" s="76"/>
      <c r="O985" s="76"/>
      <c r="P985" s="76"/>
      <c r="Q985" s="76"/>
      <c r="R985" s="76"/>
      <c r="S985" s="76"/>
      <c r="T985" s="76"/>
      <c r="U985" s="76"/>
      <c r="V985" s="76"/>
      <c r="W985" s="77"/>
    </row>
    <row r="986" spans="1:23" x14ac:dyDescent="0.3">
      <c r="A986" s="75"/>
      <c r="B986" s="76"/>
      <c r="C986" s="76"/>
      <c r="D986" s="76"/>
      <c r="E986" s="76"/>
      <c r="F986" s="76"/>
      <c r="G986" s="76"/>
      <c r="H986" s="76"/>
      <c r="I986" s="76"/>
      <c r="J986" s="76"/>
      <c r="K986" s="76"/>
      <c r="L986" s="76"/>
      <c r="M986" s="76"/>
      <c r="N986" s="76"/>
      <c r="O986" s="76"/>
      <c r="P986" s="76"/>
      <c r="Q986" s="76"/>
      <c r="R986" s="76"/>
      <c r="S986" s="76"/>
      <c r="T986" s="76"/>
      <c r="U986" s="76"/>
      <c r="V986" s="76"/>
      <c r="W986" s="77"/>
    </row>
    <row r="987" spans="1:23" x14ac:dyDescent="0.3">
      <c r="A987" s="75"/>
      <c r="B987" s="76"/>
      <c r="C987" s="76"/>
      <c r="D987" s="76"/>
      <c r="E987" s="76"/>
      <c r="F987" s="76"/>
      <c r="G987" s="76"/>
      <c r="H987" s="76"/>
      <c r="I987" s="76"/>
      <c r="J987" s="76"/>
      <c r="K987" s="76"/>
      <c r="L987" s="76"/>
      <c r="M987" s="76"/>
      <c r="N987" s="76"/>
      <c r="O987" s="76"/>
      <c r="P987" s="76"/>
      <c r="Q987" s="76"/>
      <c r="R987" s="76"/>
      <c r="S987" s="76"/>
      <c r="T987" s="76"/>
      <c r="U987" s="76"/>
      <c r="V987" s="76"/>
      <c r="W987" s="77"/>
    </row>
    <row r="988" spans="1:23" x14ac:dyDescent="0.3">
      <c r="A988" s="75"/>
      <c r="B988" s="76"/>
      <c r="C988" s="76"/>
      <c r="D988" s="76"/>
      <c r="E988" s="76"/>
      <c r="F988" s="76"/>
      <c r="G988" s="76"/>
      <c r="H988" s="76"/>
      <c r="I988" s="76"/>
      <c r="J988" s="76"/>
      <c r="K988" s="76"/>
      <c r="L988" s="76"/>
      <c r="M988" s="76"/>
      <c r="N988" s="76"/>
      <c r="O988" s="76"/>
      <c r="P988" s="76"/>
      <c r="Q988" s="76"/>
      <c r="R988" s="76"/>
      <c r="S988" s="76"/>
      <c r="T988" s="76"/>
      <c r="U988" s="76"/>
      <c r="V988" s="76"/>
      <c r="W988" s="77"/>
    </row>
    <row r="989" spans="1:23" x14ac:dyDescent="0.3">
      <c r="A989" s="75"/>
      <c r="B989" s="76"/>
      <c r="C989" s="76"/>
      <c r="D989" s="76"/>
      <c r="E989" s="76"/>
      <c r="F989" s="76"/>
      <c r="G989" s="76"/>
      <c r="H989" s="76"/>
      <c r="I989" s="76"/>
      <c r="J989" s="76"/>
      <c r="K989" s="76"/>
      <c r="L989" s="76"/>
      <c r="M989" s="76"/>
      <c r="N989" s="76"/>
      <c r="O989" s="76"/>
      <c r="P989" s="76"/>
      <c r="Q989" s="76"/>
      <c r="R989" s="76"/>
      <c r="S989" s="76"/>
      <c r="T989" s="76"/>
      <c r="U989" s="76"/>
      <c r="V989" s="76"/>
      <c r="W989" s="77"/>
    </row>
    <row r="990" spans="1:23" x14ac:dyDescent="0.3">
      <c r="A990" s="75"/>
      <c r="B990" s="76"/>
      <c r="C990" s="76"/>
      <c r="D990" s="76"/>
      <c r="E990" s="76"/>
      <c r="F990" s="76"/>
      <c r="G990" s="76"/>
      <c r="H990" s="76"/>
      <c r="I990" s="76"/>
      <c r="J990" s="76"/>
      <c r="K990" s="76"/>
      <c r="L990" s="76"/>
      <c r="M990" s="76"/>
      <c r="N990" s="76"/>
      <c r="O990" s="76"/>
      <c r="P990" s="76"/>
      <c r="Q990" s="76"/>
      <c r="R990" s="76"/>
      <c r="S990" s="76"/>
      <c r="T990" s="76"/>
      <c r="U990" s="76"/>
      <c r="V990" s="76"/>
      <c r="W990" s="77"/>
    </row>
    <row r="991" spans="1:23" x14ac:dyDescent="0.3">
      <c r="A991" s="75"/>
      <c r="B991" s="76"/>
      <c r="C991" s="76"/>
      <c r="D991" s="76"/>
      <c r="E991" s="76"/>
      <c r="F991" s="76"/>
      <c r="G991" s="76"/>
      <c r="H991" s="76"/>
      <c r="I991" s="76"/>
      <c r="J991" s="76"/>
      <c r="K991" s="76"/>
      <c r="L991" s="76"/>
      <c r="M991" s="76"/>
      <c r="N991" s="76"/>
      <c r="O991" s="76"/>
      <c r="P991" s="76"/>
      <c r="Q991" s="76"/>
      <c r="R991" s="76"/>
      <c r="S991" s="76"/>
      <c r="T991" s="76"/>
      <c r="U991" s="76"/>
      <c r="V991" s="76"/>
      <c r="W991" s="77"/>
    </row>
    <row r="992" spans="1:23" x14ac:dyDescent="0.3">
      <c r="A992" s="75"/>
      <c r="B992" s="76"/>
      <c r="C992" s="76"/>
      <c r="D992" s="76"/>
      <c r="E992" s="76"/>
      <c r="F992" s="76"/>
      <c r="G992" s="76"/>
      <c r="H992" s="76"/>
      <c r="I992" s="76"/>
      <c r="J992" s="76"/>
      <c r="K992" s="76"/>
      <c r="L992" s="76"/>
      <c r="M992" s="76"/>
      <c r="N992" s="76"/>
      <c r="O992" s="76"/>
      <c r="P992" s="76"/>
      <c r="Q992" s="76"/>
      <c r="R992" s="76"/>
      <c r="S992" s="76"/>
      <c r="T992" s="76"/>
      <c r="U992" s="76"/>
      <c r="V992" s="76"/>
      <c r="W992" s="77"/>
    </row>
    <row r="993" spans="1:23" x14ac:dyDescent="0.3">
      <c r="A993" s="75"/>
      <c r="B993" s="76"/>
      <c r="C993" s="76"/>
      <c r="D993" s="76"/>
      <c r="E993" s="76"/>
      <c r="F993" s="76"/>
      <c r="G993" s="76"/>
      <c r="H993" s="76"/>
      <c r="I993" s="76"/>
      <c r="J993" s="76"/>
      <c r="K993" s="76"/>
      <c r="L993" s="76"/>
      <c r="M993" s="76"/>
      <c r="N993" s="76"/>
      <c r="O993" s="76"/>
      <c r="P993" s="76"/>
      <c r="Q993" s="76"/>
      <c r="R993" s="76"/>
      <c r="S993" s="76"/>
      <c r="T993" s="76"/>
      <c r="U993" s="76"/>
      <c r="V993" s="76"/>
      <c r="W993" s="77"/>
    </row>
    <row r="994" spans="1:23" x14ac:dyDescent="0.3">
      <c r="A994" s="75"/>
      <c r="B994" s="76"/>
      <c r="C994" s="76"/>
      <c r="D994" s="76"/>
      <c r="E994" s="76"/>
      <c r="F994" s="76"/>
      <c r="G994" s="76"/>
      <c r="H994" s="76"/>
      <c r="I994" s="76"/>
      <c r="J994" s="76"/>
      <c r="K994" s="76"/>
      <c r="L994" s="76"/>
      <c r="M994" s="76"/>
      <c r="N994" s="76"/>
      <c r="O994" s="76"/>
      <c r="P994" s="76"/>
      <c r="Q994" s="76"/>
      <c r="R994" s="76"/>
      <c r="S994" s="76"/>
      <c r="T994" s="76"/>
      <c r="U994" s="76"/>
      <c r="V994" s="76"/>
      <c r="W994" s="77"/>
    </row>
    <row r="995" spans="1:23" x14ac:dyDescent="0.3">
      <c r="A995" s="75"/>
      <c r="B995" s="76"/>
      <c r="C995" s="76"/>
      <c r="D995" s="76"/>
      <c r="E995" s="76"/>
      <c r="F995" s="76"/>
      <c r="G995" s="76"/>
      <c r="H995" s="76"/>
      <c r="I995" s="76"/>
      <c r="J995" s="76"/>
      <c r="K995" s="76"/>
      <c r="L995" s="76"/>
      <c r="M995" s="76"/>
      <c r="N995" s="76"/>
      <c r="O995" s="76"/>
      <c r="P995" s="76"/>
      <c r="Q995" s="76"/>
      <c r="R995" s="76"/>
      <c r="S995" s="76"/>
      <c r="T995" s="76"/>
      <c r="U995" s="76"/>
      <c r="V995" s="76"/>
      <c r="W995" s="77"/>
    </row>
    <row r="996" spans="1:23" x14ac:dyDescent="0.3">
      <c r="A996" s="75"/>
      <c r="B996" s="76"/>
      <c r="C996" s="76"/>
      <c r="D996" s="76"/>
      <c r="E996" s="76"/>
      <c r="F996" s="76"/>
      <c r="G996" s="76"/>
      <c r="H996" s="76"/>
      <c r="I996" s="76"/>
      <c r="J996" s="76"/>
      <c r="K996" s="76"/>
      <c r="L996" s="76"/>
      <c r="M996" s="76"/>
      <c r="N996" s="76"/>
      <c r="O996" s="76"/>
      <c r="P996" s="76"/>
      <c r="Q996" s="76"/>
      <c r="R996" s="76"/>
      <c r="S996" s="76"/>
      <c r="T996" s="76"/>
      <c r="U996" s="76"/>
      <c r="V996" s="76"/>
      <c r="W996" s="77"/>
    </row>
    <row r="997" spans="1:23" x14ac:dyDescent="0.3">
      <c r="A997" s="75"/>
      <c r="B997" s="76"/>
      <c r="C997" s="76"/>
      <c r="D997" s="76"/>
      <c r="E997" s="76"/>
      <c r="F997" s="76"/>
      <c r="G997" s="76"/>
      <c r="H997" s="76"/>
      <c r="I997" s="76"/>
      <c r="J997" s="76"/>
      <c r="K997" s="76"/>
      <c r="L997" s="76"/>
      <c r="M997" s="76"/>
      <c r="N997" s="76"/>
      <c r="O997" s="76"/>
      <c r="P997" s="76"/>
      <c r="Q997" s="76"/>
      <c r="R997" s="76"/>
      <c r="S997" s="76"/>
      <c r="T997" s="76"/>
      <c r="U997" s="76"/>
      <c r="V997" s="76"/>
      <c r="W997" s="77"/>
    </row>
    <row r="998" spans="1:23" x14ac:dyDescent="0.3">
      <c r="A998" s="75"/>
      <c r="B998" s="76"/>
      <c r="C998" s="76"/>
      <c r="D998" s="76"/>
      <c r="E998" s="76"/>
      <c r="F998" s="76"/>
      <c r="G998" s="76"/>
      <c r="H998" s="76"/>
      <c r="I998" s="76"/>
      <c r="J998" s="76"/>
      <c r="K998" s="76"/>
      <c r="L998" s="76"/>
      <c r="M998" s="76"/>
      <c r="N998" s="76"/>
      <c r="O998" s="76"/>
      <c r="P998" s="76"/>
      <c r="Q998" s="76"/>
      <c r="R998" s="76"/>
      <c r="S998" s="76"/>
      <c r="T998" s="76"/>
      <c r="U998" s="76"/>
      <c r="V998" s="76"/>
      <c r="W998" s="77"/>
    </row>
    <row r="999" spans="1:23" x14ac:dyDescent="0.3">
      <c r="A999" s="75"/>
      <c r="B999" s="76"/>
      <c r="C999" s="76"/>
      <c r="D999" s="76"/>
      <c r="E999" s="76"/>
      <c r="F999" s="76"/>
      <c r="G999" s="76"/>
      <c r="H999" s="76"/>
      <c r="I999" s="76"/>
      <c r="J999" s="76"/>
      <c r="K999" s="76"/>
      <c r="L999" s="76"/>
      <c r="M999" s="76"/>
      <c r="N999" s="76"/>
      <c r="O999" s="76"/>
      <c r="P999" s="76"/>
      <c r="Q999" s="76"/>
      <c r="R999" s="76"/>
      <c r="S999" s="76"/>
      <c r="T999" s="76"/>
      <c r="U999" s="76"/>
      <c r="V999" s="76"/>
      <c r="W999" s="77"/>
    </row>
    <row r="1000" spans="1:23" x14ac:dyDescent="0.3">
      <c r="A1000" s="75"/>
      <c r="B1000" s="76"/>
      <c r="C1000" s="76"/>
      <c r="D1000" s="76"/>
      <c r="E1000" s="76"/>
      <c r="F1000" s="76"/>
      <c r="G1000" s="76"/>
      <c r="H1000" s="76"/>
      <c r="I1000" s="76"/>
      <c r="J1000" s="76"/>
      <c r="K1000" s="76"/>
      <c r="L1000" s="76"/>
      <c r="M1000" s="76"/>
      <c r="N1000" s="76"/>
      <c r="O1000" s="76"/>
      <c r="P1000" s="76"/>
      <c r="Q1000" s="76"/>
      <c r="R1000" s="76"/>
      <c r="S1000" s="76"/>
      <c r="T1000" s="76"/>
      <c r="U1000" s="76"/>
      <c r="V1000" s="76"/>
      <c r="W1000" s="77"/>
    </row>
    <row r="1001" spans="1:23" x14ac:dyDescent="0.3">
      <c r="A1001" s="75"/>
      <c r="B1001" s="76"/>
      <c r="C1001" s="76"/>
      <c r="D1001" s="76"/>
      <c r="E1001" s="76"/>
      <c r="F1001" s="76"/>
      <c r="G1001" s="76"/>
      <c r="H1001" s="76"/>
      <c r="I1001" s="76"/>
      <c r="J1001" s="76"/>
      <c r="K1001" s="76"/>
      <c r="L1001" s="76"/>
      <c r="M1001" s="76"/>
      <c r="N1001" s="76"/>
      <c r="O1001" s="76"/>
      <c r="P1001" s="76"/>
      <c r="Q1001" s="76"/>
      <c r="R1001" s="76"/>
      <c r="S1001" s="76"/>
      <c r="T1001" s="76"/>
      <c r="U1001" s="76"/>
      <c r="V1001" s="76"/>
      <c r="W1001" s="77"/>
    </row>
    <row r="1002" spans="1:23" x14ac:dyDescent="0.3">
      <c r="A1002" s="75"/>
      <c r="B1002" s="76"/>
      <c r="C1002" s="76"/>
      <c r="D1002" s="76"/>
      <c r="E1002" s="76"/>
      <c r="F1002" s="76"/>
      <c r="G1002" s="76"/>
      <c r="H1002" s="76"/>
      <c r="I1002" s="76"/>
      <c r="J1002" s="76"/>
      <c r="K1002" s="76"/>
      <c r="L1002" s="76"/>
      <c r="M1002" s="76"/>
      <c r="N1002" s="76"/>
      <c r="O1002" s="76"/>
      <c r="P1002" s="76"/>
      <c r="Q1002" s="76"/>
      <c r="R1002" s="76"/>
      <c r="S1002" s="76"/>
      <c r="T1002" s="76"/>
      <c r="U1002" s="76"/>
      <c r="V1002" s="76"/>
      <c r="W1002" s="77"/>
    </row>
    <row r="1003" spans="1:23" x14ac:dyDescent="0.3">
      <c r="A1003" s="75"/>
      <c r="B1003" s="76"/>
      <c r="C1003" s="76"/>
      <c r="D1003" s="76"/>
      <c r="E1003" s="76"/>
      <c r="F1003" s="76"/>
      <c r="G1003" s="76"/>
      <c r="H1003" s="76"/>
      <c r="I1003" s="76"/>
      <c r="J1003" s="76"/>
      <c r="K1003" s="76"/>
      <c r="L1003" s="76"/>
      <c r="M1003" s="76"/>
      <c r="N1003" s="76"/>
      <c r="O1003" s="76"/>
      <c r="P1003" s="76"/>
      <c r="Q1003" s="76"/>
      <c r="R1003" s="76"/>
      <c r="S1003" s="76"/>
      <c r="T1003" s="76"/>
      <c r="U1003" s="76"/>
      <c r="V1003" s="76"/>
      <c r="W1003" s="77"/>
    </row>
    <row r="1004" spans="1:23" x14ac:dyDescent="0.3">
      <c r="A1004" s="75"/>
      <c r="B1004" s="76"/>
      <c r="C1004" s="76"/>
      <c r="D1004" s="76"/>
      <c r="E1004" s="76"/>
      <c r="F1004" s="76"/>
      <c r="G1004" s="76"/>
      <c r="H1004" s="76"/>
      <c r="I1004" s="76"/>
      <c r="J1004" s="76"/>
      <c r="K1004" s="76"/>
      <c r="L1004" s="76"/>
      <c r="M1004" s="76"/>
      <c r="N1004" s="76"/>
      <c r="O1004" s="76"/>
      <c r="P1004" s="76"/>
      <c r="Q1004" s="76"/>
      <c r="R1004" s="76"/>
      <c r="S1004" s="76"/>
      <c r="T1004" s="76"/>
      <c r="U1004" s="76"/>
      <c r="V1004" s="76"/>
      <c r="W1004" s="77"/>
    </row>
    <row r="1005" spans="1:23" x14ac:dyDescent="0.3">
      <c r="A1005" s="75"/>
      <c r="B1005" s="76"/>
      <c r="C1005" s="76"/>
      <c r="D1005" s="76"/>
      <c r="E1005" s="76"/>
      <c r="F1005" s="76"/>
      <c r="G1005" s="76"/>
      <c r="H1005" s="76"/>
      <c r="I1005" s="76"/>
      <c r="J1005" s="76"/>
      <c r="K1005" s="76"/>
      <c r="L1005" s="76"/>
      <c r="M1005" s="76"/>
      <c r="N1005" s="76"/>
      <c r="O1005" s="76"/>
      <c r="P1005" s="76"/>
      <c r="Q1005" s="76"/>
      <c r="R1005" s="76"/>
      <c r="S1005" s="76"/>
      <c r="T1005" s="76"/>
      <c r="U1005" s="76"/>
      <c r="V1005" s="76"/>
      <c r="W1005" s="77"/>
    </row>
    <row r="1006" spans="1:23" x14ac:dyDescent="0.3">
      <c r="A1006" s="75"/>
      <c r="B1006" s="76"/>
      <c r="C1006" s="76"/>
      <c r="D1006" s="76"/>
      <c r="E1006" s="76"/>
      <c r="F1006" s="76"/>
      <c r="G1006" s="76"/>
      <c r="H1006" s="76"/>
      <c r="I1006" s="76"/>
      <c r="J1006" s="76"/>
      <c r="K1006" s="76"/>
      <c r="L1006" s="76"/>
      <c r="M1006" s="76"/>
      <c r="N1006" s="76"/>
      <c r="O1006" s="76"/>
      <c r="P1006" s="76"/>
      <c r="Q1006" s="76"/>
      <c r="R1006" s="76"/>
      <c r="S1006" s="76"/>
      <c r="T1006" s="76"/>
      <c r="U1006" s="76"/>
      <c r="V1006" s="76"/>
      <c r="W1006" s="77"/>
    </row>
    <row r="1007" spans="1:23" x14ac:dyDescent="0.3">
      <c r="A1007" s="75"/>
      <c r="B1007" s="76"/>
      <c r="C1007" s="76"/>
      <c r="D1007" s="76"/>
      <c r="E1007" s="76"/>
      <c r="F1007" s="76"/>
      <c r="G1007" s="76"/>
      <c r="H1007" s="76"/>
      <c r="I1007" s="76"/>
      <c r="J1007" s="76"/>
      <c r="K1007" s="76"/>
      <c r="L1007" s="76"/>
      <c r="M1007" s="76"/>
      <c r="N1007" s="76"/>
      <c r="O1007" s="76"/>
      <c r="P1007" s="76"/>
      <c r="Q1007" s="76"/>
      <c r="R1007" s="76"/>
      <c r="S1007" s="76"/>
      <c r="T1007" s="76"/>
      <c r="U1007" s="76"/>
      <c r="V1007" s="76"/>
      <c r="W1007" s="77"/>
    </row>
    <row r="1008" spans="1:23" x14ac:dyDescent="0.3">
      <c r="A1008" s="75"/>
      <c r="B1008" s="76"/>
      <c r="C1008" s="76"/>
      <c r="D1008" s="76"/>
      <c r="E1008" s="76"/>
      <c r="F1008" s="76"/>
      <c r="G1008" s="76"/>
      <c r="H1008" s="76"/>
      <c r="I1008" s="76"/>
      <c r="J1008" s="76"/>
      <c r="K1008" s="76"/>
      <c r="L1008" s="76"/>
      <c r="M1008" s="76"/>
      <c r="N1008" s="76"/>
      <c r="O1008" s="76"/>
      <c r="P1008" s="76"/>
      <c r="Q1008" s="76"/>
      <c r="R1008" s="76"/>
      <c r="S1008" s="76"/>
      <c r="T1008" s="76"/>
      <c r="U1008" s="76"/>
      <c r="V1008" s="76"/>
      <c r="W1008" s="77"/>
    </row>
    <row r="1009" spans="1:23" x14ac:dyDescent="0.3">
      <c r="A1009" s="75"/>
      <c r="B1009" s="76"/>
      <c r="C1009" s="76"/>
      <c r="D1009" s="76"/>
      <c r="E1009" s="76"/>
      <c r="F1009" s="76"/>
      <c r="G1009" s="76"/>
      <c r="H1009" s="76"/>
      <c r="I1009" s="76"/>
      <c r="J1009" s="76"/>
      <c r="K1009" s="76"/>
      <c r="L1009" s="76"/>
      <c r="M1009" s="76"/>
      <c r="N1009" s="76"/>
      <c r="O1009" s="76"/>
      <c r="P1009" s="76"/>
      <c r="Q1009" s="76"/>
      <c r="R1009" s="76"/>
      <c r="S1009" s="76"/>
      <c r="T1009" s="76"/>
      <c r="U1009" s="76"/>
      <c r="V1009" s="76"/>
      <c r="W1009" s="77"/>
    </row>
    <row r="1010" spans="1:23" x14ac:dyDescent="0.3">
      <c r="A1010" s="75"/>
      <c r="B1010" s="76"/>
      <c r="C1010" s="76"/>
      <c r="D1010" s="76"/>
      <c r="E1010" s="76"/>
      <c r="F1010" s="76"/>
      <c r="G1010" s="76"/>
      <c r="H1010" s="76"/>
      <c r="I1010" s="76"/>
      <c r="J1010" s="76"/>
      <c r="K1010" s="76"/>
      <c r="L1010" s="76"/>
      <c r="M1010" s="76"/>
      <c r="N1010" s="76"/>
      <c r="O1010" s="76"/>
      <c r="P1010" s="76"/>
      <c r="Q1010" s="76"/>
      <c r="R1010" s="76"/>
      <c r="S1010" s="76"/>
      <c r="T1010" s="76"/>
      <c r="U1010" s="76"/>
      <c r="V1010" s="76"/>
      <c r="W1010" s="77"/>
    </row>
    <row r="1011" spans="1:23" x14ac:dyDescent="0.3">
      <c r="A1011" s="75"/>
      <c r="B1011" s="76"/>
      <c r="C1011" s="76"/>
      <c r="D1011" s="76"/>
      <c r="E1011" s="76"/>
      <c r="F1011" s="76"/>
      <c r="G1011" s="76"/>
      <c r="H1011" s="76"/>
      <c r="I1011" s="76"/>
      <c r="J1011" s="76"/>
      <c r="K1011" s="76"/>
      <c r="L1011" s="76"/>
      <c r="M1011" s="76"/>
      <c r="N1011" s="76"/>
      <c r="O1011" s="76"/>
      <c r="P1011" s="76"/>
      <c r="Q1011" s="76"/>
      <c r="R1011" s="76"/>
      <c r="S1011" s="76"/>
      <c r="T1011" s="76"/>
      <c r="U1011" s="76"/>
      <c r="V1011" s="76"/>
      <c r="W1011" s="77"/>
    </row>
    <row r="1012" spans="1:23" x14ac:dyDescent="0.3">
      <c r="A1012" s="75"/>
      <c r="B1012" s="76"/>
      <c r="C1012" s="76"/>
      <c r="D1012" s="76"/>
      <c r="E1012" s="76"/>
      <c r="F1012" s="76"/>
      <c r="G1012" s="76"/>
      <c r="H1012" s="76"/>
      <c r="I1012" s="76"/>
      <c r="J1012" s="76"/>
      <c r="K1012" s="76"/>
      <c r="L1012" s="76"/>
      <c r="M1012" s="76"/>
      <c r="N1012" s="76"/>
      <c r="O1012" s="76"/>
      <c r="P1012" s="76"/>
      <c r="Q1012" s="76"/>
      <c r="R1012" s="76"/>
      <c r="S1012" s="76"/>
      <c r="T1012" s="76"/>
      <c r="U1012" s="76"/>
      <c r="V1012" s="76"/>
      <c r="W1012" s="77"/>
    </row>
    <row r="1013" spans="1:23" x14ac:dyDescent="0.3">
      <c r="A1013" s="75"/>
      <c r="B1013" s="76"/>
      <c r="C1013" s="76"/>
      <c r="D1013" s="76"/>
      <c r="E1013" s="76"/>
      <c r="F1013" s="76"/>
      <c r="G1013" s="76"/>
      <c r="H1013" s="76"/>
      <c r="I1013" s="76"/>
      <c r="J1013" s="76"/>
      <c r="K1013" s="76"/>
      <c r="L1013" s="76"/>
      <c r="M1013" s="76"/>
      <c r="N1013" s="76"/>
      <c r="O1013" s="76"/>
      <c r="P1013" s="76"/>
      <c r="Q1013" s="76"/>
      <c r="R1013" s="76"/>
      <c r="S1013" s="76"/>
      <c r="T1013" s="76"/>
      <c r="U1013" s="76"/>
      <c r="V1013" s="76"/>
      <c r="W1013" s="77"/>
    </row>
    <row r="1014" spans="1:23" x14ac:dyDescent="0.3">
      <c r="A1014" s="75"/>
      <c r="B1014" s="76"/>
      <c r="C1014" s="76"/>
      <c r="D1014" s="76"/>
      <c r="E1014" s="76"/>
      <c r="F1014" s="76"/>
      <c r="G1014" s="76"/>
      <c r="H1014" s="76"/>
      <c r="I1014" s="76"/>
      <c r="J1014" s="76"/>
      <c r="K1014" s="76"/>
      <c r="L1014" s="76"/>
      <c r="M1014" s="76"/>
      <c r="N1014" s="76"/>
      <c r="O1014" s="76"/>
      <c r="P1014" s="76"/>
      <c r="Q1014" s="76"/>
      <c r="R1014" s="76"/>
      <c r="S1014" s="76"/>
      <c r="T1014" s="76"/>
      <c r="U1014" s="76"/>
      <c r="V1014" s="76"/>
      <c r="W1014" s="77"/>
    </row>
    <row r="1015" spans="1:23" x14ac:dyDescent="0.3">
      <c r="A1015" s="75"/>
      <c r="B1015" s="76"/>
      <c r="C1015" s="76"/>
      <c r="D1015" s="76"/>
      <c r="E1015" s="76"/>
      <c r="F1015" s="76"/>
      <c r="G1015" s="76"/>
      <c r="H1015" s="76"/>
      <c r="I1015" s="76"/>
      <c r="J1015" s="76"/>
      <c r="K1015" s="76"/>
      <c r="L1015" s="76"/>
      <c r="M1015" s="76"/>
      <c r="N1015" s="76"/>
      <c r="O1015" s="76"/>
      <c r="P1015" s="76"/>
      <c r="Q1015" s="76"/>
      <c r="R1015" s="76"/>
      <c r="S1015" s="76"/>
      <c r="T1015" s="76"/>
      <c r="U1015" s="76"/>
      <c r="V1015" s="76"/>
      <c r="W1015" s="77"/>
    </row>
    <row r="1016" spans="1:23" x14ac:dyDescent="0.3">
      <c r="A1016" s="75"/>
      <c r="B1016" s="76"/>
      <c r="C1016" s="76"/>
      <c r="D1016" s="76"/>
      <c r="E1016" s="76"/>
      <c r="F1016" s="76"/>
      <c r="G1016" s="76"/>
      <c r="H1016" s="76"/>
      <c r="I1016" s="76"/>
      <c r="J1016" s="76"/>
      <c r="K1016" s="76"/>
      <c r="L1016" s="76"/>
      <c r="M1016" s="76"/>
      <c r="N1016" s="76"/>
      <c r="O1016" s="76"/>
      <c r="P1016" s="76"/>
      <c r="Q1016" s="76"/>
      <c r="R1016" s="76"/>
      <c r="S1016" s="76"/>
      <c r="T1016" s="76"/>
      <c r="U1016" s="76"/>
      <c r="V1016" s="76"/>
      <c r="W1016" s="77"/>
    </row>
    <row r="1017" spans="1:23" x14ac:dyDescent="0.3">
      <c r="A1017" s="75"/>
      <c r="B1017" s="76"/>
      <c r="C1017" s="76"/>
      <c r="D1017" s="76"/>
      <c r="E1017" s="76"/>
      <c r="F1017" s="76"/>
      <c r="G1017" s="76"/>
      <c r="H1017" s="76"/>
      <c r="I1017" s="76"/>
      <c r="J1017" s="76"/>
      <c r="K1017" s="76"/>
      <c r="L1017" s="76"/>
      <c r="M1017" s="76"/>
      <c r="N1017" s="76"/>
      <c r="O1017" s="76"/>
      <c r="P1017" s="76"/>
      <c r="Q1017" s="76"/>
      <c r="R1017" s="76"/>
      <c r="S1017" s="76"/>
      <c r="T1017" s="76"/>
      <c r="U1017" s="76"/>
      <c r="V1017" s="76"/>
      <c r="W1017" s="77"/>
    </row>
    <row r="1018" spans="1:23" x14ac:dyDescent="0.3">
      <c r="A1018" s="75"/>
      <c r="B1018" s="76"/>
      <c r="C1018" s="76"/>
      <c r="D1018" s="76"/>
      <c r="E1018" s="76"/>
      <c r="F1018" s="76"/>
      <c r="G1018" s="76"/>
      <c r="H1018" s="76"/>
      <c r="I1018" s="76"/>
      <c r="J1018" s="76"/>
      <c r="K1018" s="76"/>
      <c r="L1018" s="76"/>
      <c r="M1018" s="76"/>
      <c r="N1018" s="76"/>
      <c r="O1018" s="76"/>
      <c r="P1018" s="76"/>
      <c r="Q1018" s="76"/>
      <c r="R1018" s="76"/>
      <c r="S1018" s="76"/>
      <c r="T1018" s="76"/>
      <c r="U1018" s="76"/>
      <c r="V1018" s="76"/>
      <c r="W1018" s="77"/>
    </row>
    <row r="1019" spans="1:23" x14ac:dyDescent="0.3">
      <c r="A1019" s="75"/>
      <c r="B1019" s="76"/>
      <c r="C1019" s="76"/>
      <c r="D1019" s="76"/>
      <c r="E1019" s="76"/>
      <c r="F1019" s="76"/>
      <c r="G1019" s="76"/>
      <c r="H1019" s="76"/>
      <c r="I1019" s="76"/>
      <c r="J1019" s="76"/>
      <c r="K1019" s="76"/>
      <c r="L1019" s="76"/>
      <c r="M1019" s="76"/>
      <c r="N1019" s="76"/>
      <c r="O1019" s="76"/>
      <c r="P1019" s="76"/>
      <c r="Q1019" s="76"/>
      <c r="R1019" s="76"/>
      <c r="S1019" s="76"/>
      <c r="T1019" s="76"/>
      <c r="U1019" s="76"/>
      <c r="V1019" s="76"/>
      <c r="W1019" s="77"/>
    </row>
    <row r="1020" spans="1:23" x14ac:dyDescent="0.3">
      <c r="A1020" s="75"/>
      <c r="B1020" s="76"/>
      <c r="C1020" s="76"/>
      <c r="D1020" s="76"/>
      <c r="E1020" s="76"/>
      <c r="F1020" s="76"/>
      <c r="G1020" s="76"/>
      <c r="H1020" s="76"/>
      <c r="I1020" s="76"/>
      <c r="J1020" s="76"/>
      <c r="K1020" s="76"/>
      <c r="L1020" s="76"/>
      <c r="M1020" s="76"/>
      <c r="N1020" s="76"/>
      <c r="O1020" s="76"/>
      <c r="P1020" s="76"/>
      <c r="Q1020" s="76"/>
      <c r="R1020" s="76"/>
      <c r="S1020" s="76"/>
      <c r="T1020" s="76"/>
      <c r="U1020" s="76"/>
      <c r="V1020" s="76"/>
      <c r="W1020" s="77"/>
    </row>
    <row r="1021" spans="1:23" x14ac:dyDescent="0.3">
      <c r="A1021" s="75"/>
      <c r="B1021" s="76"/>
      <c r="C1021" s="76"/>
      <c r="D1021" s="76"/>
      <c r="E1021" s="76"/>
      <c r="F1021" s="76"/>
      <c r="G1021" s="76"/>
      <c r="H1021" s="76"/>
      <c r="I1021" s="76"/>
      <c r="J1021" s="76"/>
      <c r="K1021" s="76"/>
      <c r="L1021" s="76"/>
      <c r="M1021" s="76"/>
      <c r="N1021" s="76"/>
      <c r="O1021" s="76"/>
      <c r="P1021" s="76"/>
      <c r="Q1021" s="76"/>
      <c r="R1021" s="76"/>
      <c r="S1021" s="76"/>
      <c r="T1021" s="76"/>
      <c r="U1021" s="76"/>
      <c r="V1021" s="76"/>
      <c r="W1021" s="77"/>
    </row>
    <row r="1022" spans="1:23" x14ac:dyDescent="0.3">
      <c r="A1022" s="75"/>
      <c r="B1022" s="76"/>
      <c r="C1022" s="76"/>
      <c r="D1022" s="76"/>
      <c r="E1022" s="76"/>
      <c r="F1022" s="76"/>
      <c r="G1022" s="76"/>
      <c r="H1022" s="76"/>
      <c r="I1022" s="76"/>
      <c r="J1022" s="76"/>
      <c r="K1022" s="76"/>
      <c r="L1022" s="76"/>
      <c r="M1022" s="76"/>
      <c r="N1022" s="76"/>
      <c r="O1022" s="76"/>
      <c r="P1022" s="76"/>
      <c r="Q1022" s="76"/>
      <c r="R1022" s="76"/>
      <c r="S1022" s="76"/>
      <c r="T1022" s="76"/>
      <c r="U1022" s="76"/>
      <c r="V1022" s="76"/>
      <c r="W1022" s="77"/>
    </row>
    <row r="1023" spans="1:23" x14ac:dyDescent="0.3">
      <c r="A1023" s="75"/>
      <c r="B1023" s="76"/>
      <c r="C1023" s="76"/>
      <c r="D1023" s="76"/>
      <c r="E1023" s="76"/>
      <c r="F1023" s="76"/>
      <c r="G1023" s="76"/>
      <c r="H1023" s="76"/>
      <c r="I1023" s="76"/>
      <c r="J1023" s="76"/>
      <c r="K1023" s="76"/>
      <c r="L1023" s="76"/>
      <c r="M1023" s="76"/>
      <c r="N1023" s="76"/>
      <c r="O1023" s="76"/>
      <c r="P1023" s="76"/>
      <c r="Q1023" s="76"/>
      <c r="R1023" s="76"/>
      <c r="S1023" s="76"/>
      <c r="T1023" s="76"/>
      <c r="U1023" s="76"/>
      <c r="V1023" s="76"/>
      <c r="W1023" s="77"/>
    </row>
    <row r="1024" spans="1:23" x14ac:dyDescent="0.3">
      <c r="A1024" s="75"/>
      <c r="B1024" s="76"/>
      <c r="C1024" s="76"/>
      <c r="D1024" s="76"/>
      <c r="E1024" s="76"/>
      <c r="F1024" s="76"/>
      <c r="G1024" s="76"/>
      <c r="H1024" s="76"/>
      <c r="I1024" s="76"/>
      <c r="J1024" s="76"/>
      <c r="K1024" s="76"/>
      <c r="L1024" s="76"/>
      <c r="M1024" s="76"/>
      <c r="N1024" s="76"/>
      <c r="O1024" s="76"/>
      <c r="P1024" s="76"/>
      <c r="Q1024" s="76"/>
      <c r="R1024" s="76"/>
      <c r="S1024" s="76"/>
      <c r="T1024" s="76"/>
      <c r="U1024" s="76"/>
      <c r="V1024" s="76"/>
      <c r="W1024" s="77"/>
    </row>
    <row r="1025" spans="1:23" x14ac:dyDescent="0.3">
      <c r="A1025" s="75"/>
      <c r="B1025" s="76"/>
      <c r="C1025" s="76"/>
      <c r="D1025" s="76"/>
      <c r="E1025" s="76"/>
      <c r="F1025" s="76"/>
      <c r="G1025" s="76"/>
      <c r="H1025" s="76"/>
      <c r="I1025" s="76"/>
      <c r="J1025" s="76"/>
      <c r="K1025" s="76"/>
      <c r="L1025" s="76"/>
      <c r="M1025" s="76"/>
      <c r="N1025" s="76"/>
      <c r="O1025" s="76"/>
      <c r="P1025" s="76"/>
      <c r="Q1025" s="76"/>
      <c r="R1025" s="76"/>
      <c r="S1025" s="76"/>
      <c r="T1025" s="76"/>
      <c r="U1025" s="76"/>
      <c r="V1025" s="76"/>
      <c r="W1025" s="77"/>
    </row>
    <row r="1026" spans="1:23" x14ac:dyDescent="0.3">
      <c r="A1026" s="75"/>
      <c r="B1026" s="76"/>
      <c r="C1026" s="76"/>
      <c r="D1026" s="76"/>
      <c r="E1026" s="76"/>
      <c r="F1026" s="76"/>
      <c r="G1026" s="76"/>
      <c r="H1026" s="76"/>
      <c r="I1026" s="76"/>
      <c r="J1026" s="76"/>
      <c r="K1026" s="76"/>
      <c r="L1026" s="76"/>
      <c r="M1026" s="76"/>
      <c r="N1026" s="76"/>
      <c r="O1026" s="76"/>
      <c r="P1026" s="76"/>
      <c r="Q1026" s="76"/>
      <c r="R1026" s="76"/>
      <c r="S1026" s="76"/>
      <c r="T1026" s="76"/>
      <c r="U1026" s="76"/>
      <c r="V1026" s="76"/>
      <c r="W1026" s="77"/>
    </row>
    <row r="1027" spans="1:23" x14ac:dyDescent="0.3">
      <c r="A1027" s="75"/>
      <c r="B1027" s="76"/>
      <c r="C1027" s="76"/>
      <c r="D1027" s="76"/>
      <c r="E1027" s="76"/>
      <c r="F1027" s="76"/>
      <c r="G1027" s="76"/>
      <c r="H1027" s="76"/>
      <c r="I1027" s="76"/>
      <c r="J1027" s="76"/>
      <c r="K1027" s="76"/>
      <c r="L1027" s="76"/>
      <c r="M1027" s="76"/>
      <c r="N1027" s="76"/>
      <c r="O1027" s="76"/>
      <c r="P1027" s="76"/>
      <c r="Q1027" s="76"/>
      <c r="R1027" s="76"/>
      <c r="S1027" s="76"/>
      <c r="T1027" s="76"/>
      <c r="U1027" s="76"/>
      <c r="V1027" s="76"/>
      <c r="W1027" s="77"/>
    </row>
    <row r="1028" spans="1:23" x14ac:dyDescent="0.3">
      <c r="A1028" s="75"/>
      <c r="B1028" s="76"/>
      <c r="C1028" s="76"/>
      <c r="D1028" s="76"/>
      <c r="E1028" s="76"/>
      <c r="F1028" s="76"/>
      <c r="G1028" s="76"/>
      <c r="H1028" s="76"/>
      <c r="I1028" s="76"/>
      <c r="J1028" s="76"/>
      <c r="K1028" s="76"/>
      <c r="L1028" s="76"/>
      <c r="M1028" s="76"/>
      <c r="N1028" s="76"/>
      <c r="O1028" s="76"/>
      <c r="P1028" s="76"/>
      <c r="Q1028" s="76"/>
      <c r="R1028" s="76"/>
      <c r="S1028" s="76"/>
      <c r="T1028" s="76"/>
      <c r="U1028" s="76"/>
      <c r="V1028" s="76"/>
      <c r="W1028" s="77"/>
    </row>
    <row r="1029" spans="1:23" x14ac:dyDescent="0.3">
      <c r="A1029" s="75"/>
      <c r="B1029" s="76"/>
      <c r="C1029" s="76"/>
      <c r="D1029" s="76"/>
      <c r="E1029" s="76"/>
      <c r="F1029" s="76"/>
      <c r="G1029" s="76"/>
      <c r="H1029" s="76"/>
      <c r="I1029" s="76"/>
      <c r="J1029" s="76"/>
      <c r="K1029" s="76"/>
      <c r="L1029" s="76"/>
      <c r="M1029" s="76"/>
      <c r="N1029" s="76"/>
      <c r="O1029" s="76"/>
      <c r="P1029" s="76"/>
      <c r="Q1029" s="76"/>
      <c r="R1029" s="76"/>
      <c r="S1029" s="76"/>
      <c r="T1029" s="76"/>
      <c r="U1029" s="76"/>
      <c r="V1029" s="76"/>
      <c r="W1029" s="77"/>
    </row>
    <row r="1030" spans="1:23" x14ac:dyDescent="0.3">
      <c r="A1030" s="75"/>
      <c r="B1030" s="76"/>
      <c r="C1030" s="76"/>
      <c r="D1030" s="76"/>
      <c r="E1030" s="76"/>
      <c r="F1030" s="76"/>
      <c r="G1030" s="76"/>
      <c r="H1030" s="76"/>
      <c r="I1030" s="76"/>
      <c r="J1030" s="76"/>
      <c r="K1030" s="76"/>
      <c r="L1030" s="76"/>
      <c r="M1030" s="76"/>
      <c r="N1030" s="76"/>
      <c r="O1030" s="76"/>
      <c r="P1030" s="76"/>
      <c r="Q1030" s="76"/>
      <c r="R1030" s="76"/>
      <c r="S1030" s="76"/>
      <c r="T1030" s="76"/>
      <c r="U1030" s="76"/>
      <c r="V1030" s="76"/>
      <c r="W1030" s="77"/>
    </row>
    <row r="1031" spans="1:23" x14ac:dyDescent="0.3">
      <c r="A1031" s="75"/>
      <c r="B1031" s="76"/>
      <c r="C1031" s="76"/>
      <c r="D1031" s="76"/>
      <c r="E1031" s="76"/>
      <c r="F1031" s="76"/>
      <c r="G1031" s="76"/>
      <c r="H1031" s="76"/>
      <c r="I1031" s="76"/>
      <c r="J1031" s="76"/>
      <c r="K1031" s="76"/>
      <c r="L1031" s="76"/>
      <c r="M1031" s="76"/>
      <c r="N1031" s="76"/>
      <c r="O1031" s="76"/>
      <c r="P1031" s="76"/>
      <c r="Q1031" s="76"/>
      <c r="R1031" s="76"/>
      <c r="S1031" s="76"/>
      <c r="T1031" s="76"/>
      <c r="U1031" s="76"/>
      <c r="V1031" s="76"/>
      <c r="W1031" s="77"/>
    </row>
    <row r="1032" spans="1:23" x14ac:dyDescent="0.3">
      <c r="A1032" s="75"/>
      <c r="B1032" s="76"/>
      <c r="C1032" s="76"/>
      <c r="D1032" s="76"/>
      <c r="E1032" s="76"/>
      <c r="F1032" s="76"/>
      <c r="G1032" s="76"/>
      <c r="H1032" s="76"/>
      <c r="I1032" s="76"/>
      <c r="J1032" s="76"/>
      <c r="K1032" s="76"/>
      <c r="L1032" s="76"/>
      <c r="M1032" s="76"/>
      <c r="N1032" s="76"/>
      <c r="O1032" s="76"/>
      <c r="P1032" s="76"/>
      <c r="Q1032" s="76"/>
      <c r="R1032" s="76"/>
      <c r="S1032" s="76"/>
      <c r="T1032" s="76"/>
      <c r="U1032" s="76"/>
      <c r="V1032" s="76"/>
      <c r="W1032" s="77"/>
    </row>
    <row r="1033" spans="1:23" x14ac:dyDescent="0.3">
      <c r="A1033" s="75"/>
      <c r="B1033" s="76"/>
      <c r="C1033" s="76"/>
      <c r="D1033" s="76"/>
      <c r="E1033" s="76"/>
      <c r="F1033" s="76"/>
      <c r="G1033" s="76"/>
      <c r="H1033" s="76"/>
      <c r="I1033" s="76"/>
      <c r="J1033" s="76"/>
      <c r="K1033" s="76"/>
      <c r="L1033" s="76"/>
      <c r="M1033" s="76"/>
      <c r="N1033" s="76"/>
      <c r="O1033" s="76"/>
      <c r="P1033" s="76"/>
      <c r="Q1033" s="76"/>
      <c r="R1033" s="76"/>
      <c r="S1033" s="76"/>
      <c r="T1033" s="76"/>
      <c r="U1033" s="76"/>
      <c r="V1033" s="76"/>
      <c r="W1033" s="77"/>
    </row>
    <row r="1034" spans="1:23" x14ac:dyDescent="0.3">
      <c r="A1034" s="75"/>
      <c r="B1034" s="76"/>
      <c r="C1034" s="76"/>
      <c r="D1034" s="76"/>
      <c r="E1034" s="76"/>
      <c r="F1034" s="76"/>
      <c r="G1034" s="76"/>
      <c r="H1034" s="76"/>
      <c r="I1034" s="76"/>
      <c r="J1034" s="76"/>
      <c r="K1034" s="76"/>
      <c r="L1034" s="76"/>
      <c r="M1034" s="76"/>
      <c r="N1034" s="76"/>
      <c r="O1034" s="76"/>
      <c r="P1034" s="76"/>
      <c r="Q1034" s="76"/>
      <c r="R1034" s="76"/>
      <c r="S1034" s="76"/>
      <c r="T1034" s="76"/>
      <c r="U1034" s="76"/>
      <c r="V1034" s="76"/>
      <c r="W1034" s="77"/>
    </row>
    <row r="1035" spans="1:23" x14ac:dyDescent="0.3">
      <c r="A1035" s="75"/>
      <c r="B1035" s="76"/>
      <c r="C1035" s="76"/>
      <c r="D1035" s="76"/>
      <c r="E1035" s="76"/>
      <c r="F1035" s="76"/>
      <c r="G1035" s="76"/>
      <c r="H1035" s="76"/>
      <c r="I1035" s="76"/>
      <c r="J1035" s="76"/>
      <c r="K1035" s="76"/>
      <c r="L1035" s="76"/>
      <c r="M1035" s="76"/>
      <c r="N1035" s="76"/>
      <c r="O1035" s="76"/>
      <c r="P1035" s="76"/>
      <c r="Q1035" s="76"/>
      <c r="R1035" s="76"/>
      <c r="S1035" s="76"/>
      <c r="T1035" s="76"/>
      <c r="U1035" s="76"/>
      <c r="V1035" s="76"/>
      <c r="W1035" s="77"/>
    </row>
    <row r="1036" spans="1:23" x14ac:dyDescent="0.3">
      <c r="A1036" s="75"/>
      <c r="B1036" s="76"/>
      <c r="C1036" s="76"/>
      <c r="D1036" s="76"/>
      <c r="E1036" s="76"/>
      <c r="F1036" s="76"/>
      <c r="G1036" s="76"/>
      <c r="H1036" s="76"/>
      <c r="I1036" s="76"/>
      <c r="J1036" s="76"/>
      <c r="K1036" s="76"/>
      <c r="L1036" s="76"/>
      <c r="M1036" s="76"/>
      <c r="N1036" s="76"/>
      <c r="O1036" s="76"/>
      <c r="P1036" s="76"/>
      <c r="Q1036" s="76"/>
      <c r="R1036" s="76"/>
      <c r="S1036" s="76"/>
      <c r="T1036" s="76"/>
      <c r="U1036" s="76"/>
      <c r="V1036" s="76"/>
      <c r="W1036" s="77"/>
    </row>
    <row r="1037" spans="1:23" x14ac:dyDescent="0.3">
      <c r="A1037" s="75"/>
      <c r="B1037" s="76"/>
      <c r="C1037" s="76"/>
      <c r="D1037" s="76"/>
      <c r="E1037" s="76"/>
      <c r="F1037" s="76"/>
      <c r="G1037" s="76"/>
      <c r="H1037" s="76"/>
      <c r="I1037" s="76"/>
      <c r="J1037" s="76"/>
      <c r="K1037" s="76"/>
      <c r="L1037" s="76"/>
      <c r="M1037" s="76"/>
      <c r="N1037" s="76"/>
      <c r="O1037" s="76"/>
      <c r="P1037" s="76"/>
      <c r="Q1037" s="76"/>
      <c r="R1037" s="76"/>
      <c r="S1037" s="76"/>
      <c r="T1037" s="76"/>
      <c r="U1037" s="76"/>
      <c r="V1037" s="76"/>
      <c r="W1037" s="77"/>
    </row>
    <row r="1038" spans="1:23" x14ac:dyDescent="0.3">
      <c r="A1038" s="75"/>
      <c r="B1038" s="76"/>
      <c r="C1038" s="76"/>
      <c r="D1038" s="76"/>
      <c r="E1038" s="76"/>
      <c r="F1038" s="76"/>
      <c r="G1038" s="76"/>
      <c r="H1038" s="76"/>
      <c r="I1038" s="76"/>
      <c r="J1038" s="76"/>
      <c r="K1038" s="76"/>
      <c r="L1038" s="76"/>
      <c r="M1038" s="76"/>
      <c r="N1038" s="76"/>
      <c r="O1038" s="76"/>
      <c r="P1038" s="76"/>
      <c r="Q1038" s="76"/>
      <c r="R1038" s="76"/>
      <c r="S1038" s="76"/>
      <c r="T1038" s="76"/>
      <c r="U1038" s="76"/>
      <c r="V1038" s="76"/>
      <c r="W1038" s="77"/>
    </row>
    <row r="1039" spans="1:23" x14ac:dyDescent="0.3">
      <c r="A1039" s="75"/>
      <c r="B1039" s="76"/>
      <c r="C1039" s="76"/>
      <c r="D1039" s="76"/>
      <c r="E1039" s="76"/>
      <c r="F1039" s="76"/>
      <c r="G1039" s="76"/>
      <c r="H1039" s="76"/>
      <c r="I1039" s="76"/>
      <c r="J1039" s="76"/>
      <c r="K1039" s="76"/>
      <c r="L1039" s="76"/>
      <c r="M1039" s="76"/>
      <c r="N1039" s="76"/>
      <c r="O1039" s="76"/>
      <c r="P1039" s="76"/>
      <c r="Q1039" s="76"/>
      <c r="R1039" s="76"/>
      <c r="S1039" s="76"/>
      <c r="T1039" s="76"/>
      <c r="U1039" s="76"/>
      <c r="V1039" s="76"/>
      <c r="W1039" s="77"/>
    </row>
    <row r="1040" spans="1:23" x14ac:dyDescent="0.3">
      <c r="A1040" s="75"/>
      <c r="B1040" s="76"/>
      <c r="C1040" s="76"/>
      <c r="D1040" s="76"/>
      <c r="E1040" s="76"/>
      <c r="F1040" s="76"/>
      <c r="G1040" s="76"/>
      <c r="H1040" s="76"/>
      <c r="I1040" s="76"/>
      <c r="J1040" s="76"/>
      <c r="K1040" s="76"/>
      <c r="L1040" s="76"/>
      <c r="M1040" s="76"/>
      <c r="N1040" s="76"/>
      <c r="O1040" s="76"/>
      <c r="P1040" s="76"/>
      <c r="Q1040" s="76"/>
      <c r="R1040" s="76"/>
      <c r="S1040" s="76"/>
      <c r="T1040" s="76"/>
      <c r="U1040" s="76"/>
      <c r="V1040" s="76"/>
      <c r="W1040" s="77"/>
    </row>
    <row r="1041" spans="1:23" x14ac:dyDescent="0.3">
      <c r="A1041" s="75"/>
      <c r="B1041" s="76"/>
      <c r="C1041" s="76"/>
      <c r="D1041" s="76"/>
      <c r="E1041" s="76"/>
      <c r="F1041" s="76"/>
      <c r="G1041" s="76"/>
      <c r="H1041" s="76"/>
      <c r="I1041" s="76"/>
      <c r="J1041" s="76"/>
      <c r="K1041" s="76"/>
      <c r="L1041" s="76"/>
      <c r="M1041" s="76"/>
      <c r="N1041" s="76"/>
      <c r="O1041" s="76"/>
      <c r="P1041" s="76"/>
      <c r="Q1041" s="76"/>
      <c r="R1041" s="76"/>
      <c r="S1041" s="76"/>
      <c r="T1041" s="76"/>
      <c r="U1041" s="76"/>
      <c r="V1041" s="76"/>
      <c r="W1041" s="77"/>
    </row>
    <row r="1042" spans="1:23" x14ac:dyDescent="0.3">
      <c r="A1042" s="75"/>
      <c r="B1042" s="76"/>
      <c r="C1042" s="76"/>
      <c r="D1042" s="76"/>
      <c r="E1042" s="76"/>
      <c r="F1042" s="76"/>
      <c r="G1042" s="76"/>
      <c r="H1042" s="76"/>
      <c r="I1042" s="76"/>
      <c r="J1042" s="76"/>
      <c r="K1042" s="76"/>
      <c r="L1042" s="76"/>
      <c r="M1042" s="76"/>
      <c r="N1042" s="76"/>
      <c r="O1042" s="76"/>
      <c r="P1042" s="76"/>
      <c r="Q1042" s="76"/>
      <c r="R1042" s="76"/>
      <c r="S1042" s="76"/>
      <c r="T1042" s="76"/>
      <c r="U1042" s="76"/>
      <c r="V1042" s="76"/>
      <c r="W1042" s="77"/>
    </row>
    <row r="1043" spans="1:23" x14ac:dyDescent="0.3">
      <c r="A1043" s="75"/>
      <c r="B1043" s="76"/>
      <c r="C1043" s="76"/>
      <c r="D1043" s="76"/>
      <c r="E1043" s="76"/>
      <c r="F1043" s="76"/>
      <c r="G1043" s="76"/>
      <c r="H1043" s="76"/>
      <c r="I1043" s="76"/>
      <c r="J1043" s="76"/>
      <c r="K1043" s="76"/>
      <c r="L1043" s="76"/>
      <c r="M1043" s="76"/>
      <c r="N1043" s="76"/>
      <c r="O1043" s="76"/>
      <c r="P1043" s="76"/>
      <c r="Q1043" s="76"/>
      <c r="R1043" s="76"/>
      <c r="S1043" s="76"/>
      <c r="T1043" s="76"/>
      <c r="U1043" s="76"/>
      <c r="V1043" s="76"/>
      <c r="W1043" s="77"/>
    </row>
    <row r="1044" spans="1:23" x14ac:dyDescent="0.3">
      <c r="A1044" s="75"/>
      <c r="B1044" s="76"/>
      <c r="C1044" s="76"/>
      <c r="D1044" s="76"/>
      <c r="E1044" s="76"/>
      <c r="F1044" s="76"/>
      <c r="G1044" s="76"/>
      <c r="H1044" s="76"/>
      <c r="I1044" s="76"/>
      <c r="J1044" s="76"/>
      <c r="K1044" s="76"/>
      <c r="L1044" s="76"/>
      <c r="M1044" s="76"/>
      <c r="N1044" s="76"/>
      <c r="O1044" s="76"/>
      <c r="P1044" s="76"/>
      <c r="Q1044" s="76"/>
      <c r="R1044" s="76"/>
      <c r="S1044" s="76"/>
      <c r="T1044" s="76"/>
      <c r="U1044" s="76"/>
      <c r="V1044" s="76"/>
      <c r="W1044" s="77"/>
    </row>
    <row r="1045" spans="1:23" x14ac:dyDescent="0.3">
      <c r="A1045" s="75"/>
      <c r="B1045" s="76"/>
      <c r="C1045" s="76"/>
      <c r="D1045" s="76"/>
      <c r="E1045" s="76"/>
      <c r="F1045" s="76"/>
      <c r="G1045" s="76"/>
      <c r="H1045" s="76"/>
      <c r="I1045" s="76"/>
      <c r="J1045" s="76"/>
      <c r="K1045" s="76"/>
      <c r="L1045" s="76"/>
      <c r="M1045" s="76"/>
      <c r="N1045" s="76"/>
      <c r="O1045" s="76"/>
      <c r="P1045" s="76"/>
      <c r="Q1045" s="76"/>
      <c r="R1045" s="76"/>
      <c r="S1045" s="76"/>
      <c r="T1045" s="76"/>
      <c r="U1045" s="76"/>
      <c r="V1045" s="76"/>
      <c r="W1045" s="77"/>
    </row>
    <row r="1046" spans="1:23" x14ac:dyDescent="0.3">
      <c r="A1046" s="75"/>
      <c r="B1046" s="76"/>
      <c r="C1046" s="76"/>
      <c r="D1046" s="76"/>
      <c r="E1046" s="76"/>
      <c r="F1046" s="76"/>
      <c r="G1046" s="76"/>
      <c r="H1046" s="76"/>
      <c r="I1046" s="76"/>
      <c r="J1046" s="76"/>
      <c r="K1046" s="76"/>
      <c r="L1046" s="76"/>
      <c r="M1046" s="76"/>
      <c r="N1046" s="76"/>
      <c r="O1046" s="76"/>
      <c r="P1046" s="76"/>
      <c r="Q1046" s="76"/>
      <c r="R1046" s="76"/>
      <c r="S1046" s="76"/>
      <c r="T1046" s="76"/>
      <c r="U1046" s="76"/>
      <c r="V1046" s="76"/>
      <c r="W1046" s="77"/>
    </row>
    <row r="1047" spans="1:23" x14ac:dyDescent="0.3">
      <c r="A1047" s="75"/>
      <c r="B1047" s="76"/>
      <c r="C1047" s="76"/>
      <c r="D1047" s="76"/>
      <c r="E1047" s="76"/>
      <c r="F1047" s="76"/>
      <c r="G1047" s="76"/>
      <c r="H1047" s="76"/>
      <c r="I1047" s="76"/>
      <c r="J1047" s="76"/>
      <c r="K1047" s="76"/>
      <c r="L1047" s="76"/>
      <c r="M1047" s="76"/>
      <c r="N1047" s="76"/>
      <c r="O1047" s="76"/>
      <c r="P1047" s="76"/>
      <c r="Q1047" s="76"/>
      <c r="R1047" s="76"/>
      <c r="S1047" s="76"/>
      <c r="T1047" s="76"/>
      <c r="U1047" s="76"/>
      <c r="V1047" s="76"/>
      <c r="W1047" s="77"/>
    </row>
    <row r="1048" spans="1:23" x14ac:dyDescent="0.3">
      <c r="A1048" s="75"/>
      <c r="B1048" s="76"/>
      <c r="C1048" s="76"/>
      <c r="D1048" s="76"/>
      <c r="E1048" s="76"/>
      <c r="F1048" s="76"/>
      <c r="G1048" s="76"/>
      <c r="H1048" s="76"/>
      <c r="I1048" s="76"/>
      <c r="J1048" s="76"/>
      <c r="K1048" s="76"/>
      <c r="L1048" s="76"/>
      <c r="M1048" s="76"/>
      <c r="N1048" s="76"/>
      <c r="O1048" s="76"/>
      <c r="P1048" s="76"/>
      <c r="Q1048" s="76"/>
      <c r="R1048" s="76"/>
      <c r="S1048" s="76"/>
      <c r="T1048" s="76"/>
      <c r="U1048" s="76"/>
      <c r="V1048" s="76"/>
      <c r="W1048" s="77"/>
    </row>
    <row r="1049" spans="1:23" x14ac:dyDescent="0.3">
      <c r="A1049" s="75"/>
      <c r="B1049" s="76"/>
      <c r="C1049" s="76"/>
      <c r="D1049" s="76"/>
      <c r="E1049" s="76"/>
      <c r="F1049" s="76"/>
      <c r="G1049" s="76"/>
      <c r="H1049" s="76"/>
      <c r="I1049" s="76"/>
      <c r="J1049" s="76"/>
      <c r="K1049" s="76"/>
      <c r="L1049" s="76"/>
      <c r="M1049" s="76"/>
      <c r="N1049" s="76"/>
      <c r="O1049" s="76"/>
      <c r="P1049" s="76"/>
      <c r="Q1049" s="76"/>
      <c r="R1049" s="76"/>
      <c r="S1049" s="76"/>
      <c r="T1049" s="76"/>
      <c r="U1049" s="76"/>
      <c r="V1049" s="76"/>
      <c r="W1049" s="77"/>
    </row>
    <row r="1050" spans="1:23" x14ac:dyDescent="0.3">
      <c r="A1050" s="75"/>
      <c r="B1050" s="76"/>
      <c r="C1050" s="76"/>
      <c r="D1050" s="76"/>
      <c r="E1050" s="76"/>
      <c r="F1050" s="76"/>
      <c r="G1050" s="76"/>
      <c r="H1050" s="76"/>
      <c r="I1050" s="76"/>
      <c r="J1050" s="76"/>
      <c r="K1050" s="76"/>
      <c r="L1050" s="76"/>
      <c r="M1050" s="76"/>
      <c r="N1050" s="76"/>
      <c r="O1050" s="76"/>
      <c r="P1050" s="76"/>
      <c r="Q1050" s="76"/>
      <c r="R1050" s="76"/>
      <c r="S1050" s="76"/>
      <c r="T1050" s="76"/>
      <c r="U1050" s="76"/>
      <c r="V1050" s="76"/>
      <c r="W1050" s="77"/>
    </row>
    <row r="1051" spans="1:23" x14ac:dyDescent="0.3">
      <c r="A1051" s="75"/>
      <c r="B1051" s="76"/>
      <c r="C1051" s="76"/>
      <c r="D1051" s="76"/>
      <c r="E1051" s="76"/>
      <c r="F1051" s="76"/>
      <c r="G1051" s="76"/>
      <c r="H1051" s="76"/>
      <c r="I1051" s="76"/>
      <c r="J1051" s="76"/>
      <c r="K1051" s="76"/>
      <c r="L1051" s="76"/>
      <c r="M1051" s="76"/>
      <c r="N1051" s="76"/>
      <c r="O1051" s="76"/>
      <c r="P1051" s="76"/>
      <c r="Q1051" s="76"/>
      <c r="R1051" s="76"/>
      <c r="S1051" s="76"/>
      <c r="T1051" s="76"/>
      <c r="U1051" s="76"/>
      <c r="V1051" s="76"/>
      <c r="W1051" s="77"/>
    </row>
    <row r="1052" spans="1:23" x14ac:dyDescent="0.3">
      <c r="A1052" s="75"/>
      <c r="B1052" s="76"/>
      <c r="C1052" s="76"/>
      <c r="D1052" s="76"/>
      <c r="E1052" s="76"/>
      <c r="F1052" s="76"/>
      <c r="G1052" s="76"/>
      <c r="H1052" s="76"/>
      <c r="I1052" s="76"/>
      <c r="J1052" s="76"/>
      <c r="K1052" s="76"/>
      <c r="L1052" s="76"/>
      <c r="M1052" s="76"/>
      <c r="N1052" s="76"/>
      <c r="O1052" s="76"/>
      <c r="P1052" s="76"/>
      <c r="Q1052" s="76"/>
      <c r="R1052" s="76"/>
      <c r="S1052" s="76"/>
      <c r="T1052" s="76"/>
      <c r="U1052" s="76"/>
      <c r="V1052" s="76"/>
      <c r="W1052" s="77"/>
    </row>
    <row r="1053" spans="1:23" x14ac:dyDescent="0.3">
      <c r="A1053" s="75"/>
      <c r="B1053" s="76"/>
      <c r="C1053" s="76"/>
      <c r="D1053" s="76"/>
      <c r="E1053" s="76"/>
      <c r="F1053" s="76"/>
      <c r="G1053" s="76"/>
      <c r="H1053" s="76"/>
      <c r="I1053" s="76"/>
      <c r="J1053" s="76"/>
      <c r="K1053" s="76"/>
      <c r="L1053" s="76"/>
      <c r="M1053" s="76"/>
      <c r="N1053" s="76"/>
      <c r="O1053" s="76"/>
      <c r="P1053" s="76"/>
      <c r="Q1053" s="76"/>
      <c r="R1053" s="76"/>
      <c r="S1053" s="76"/>
      <c r="T1053" s="76"/>
      <c r="U1053" s="76"/>
      <c r="V1053" s="76"/>
      <c r="W1053" s="77"/>
    </row>
    <row r="1054" spans="1:23" x14ac:dyDescent="0.3">
      <c r="A1054" s="75"/>
      <c r="B1054" s="76"/>
      <c r="C1054" s="76"/>
      <c r="D1054" s="76"/>
      <c r="E1054" s="76"/>
      <c r="F1054" s="76"/>
      <c r="G1054" s="76"/>
      <c r="H1054" s="76"/>
      <c r="I1054" s="76"/>
      <c r="J1054" s="76"/>
      <c r="K1054" s="76"/>
      <c r="L1054" s="76"/>
      <c r="M1054" s="76"/>
      <c r="N1054" s="76"/>
      <c r="O1054" s="76"/>
      <c r="P1054" s="76"/>
      <c r="Q1054" s="76"/>
      <c r="R1054" s="76"/>
      <c r="S1054" s="76"/>
      <c r="T1054" s="76"/>
      <c r="U1054" s="76"/>
      <c r="V1054" s="76"/>
      <c r="W1054" s="77"/>
    </row>
    <row r="1055" spans="1:23" x14ac:dyDescent="0.3">
      <c r="A1055" s="75"/>
      <c r="B1055" s="76"/>
      <c r="C1055" s="76"/>
      <c r="D1055" s="76"/>
      <c r="E1055" s="76"/>
      <c r="F1055" s="76"/>
      <c r="G1055" s="76"/>
      <c r="H1055" s="76"/>
      <c r="I1055" s="76"/>
      <c r="J1055" s="76"/>
      <c r="K1055" s="76"/>
      <c r="L1055" s="76"/>
      <c r="M1055" s="76"/>
      <c r="N1055" s="76"/>
      <c r="O1055" s="76"/>
      <c r="P1055" s="76"/>
      <c r="Q1055" s="76"/>
      <c r="R1055" s="76"/>
      <c r="S1055" s="76"/>
      <c r="T1055" s="76"/>
      <c r="U1055" s="76"/>
      <c r="V1055" s="76"/>
      <c r="W1055" s="77"/>
    </row>
    <row r="1056" spans="1:23" x14ac:dyDescent="0.3">
      <c r="A1056" s="75"/>
      <c r="B1056" s="76"/>
      <c r="C1056" s="76"/>
      <c r="D1056" s="76"/>
      <c r="E1056" s="76"/>
      <c r="F1056" s="76"/>
      <c r="G1056" s="76"/>
      <c r="H1056" s="76"/>
      <c r="I1056" s="76"/>
      <c r="J1056" s="76"/>
      <c r="K1056" s="76"/>
      <c r="L1056" s="76"/>
      <c r="M1056" s="76"/>
      <c r="N1056" s="76"/>
      <c r="O1056" s="76"/>
      <c r="P1056" s="76"/>
      <c r="Q1056" s="76"/>
      <c r="R1056" s="76"/>
      <c r="S1056" s="76"/>
      <c r="T1056" s="76"/>
      <c r="U1056" s="76"/>
      <c r="V1056" s="76"/>
      <c r="W1056" s="77"/>
    </row>
    <row r="1057" spans="1:23" x14ac:dyDescent="0.3">
      <c r="A1057" s="75"/>
      <c r="B1057" s="76"/>
      <c r="C1057" s="76"/>
      <c r="D1057" s="76"/>
      <c r="E1057" s="76"/>
      <c r="F1057" s="76"/>
      <c r="G1057" s="76"/>
      <c r="H1057" s="76"/>
      <c r="I1057" s="76"/>
      <c r="J1057" s="76"/>
      <c r="K1057" s="76"/>
      <c r="L1057" s="76"/>
      <c r="M1057" s="76"/>
      <c r="N1057" s="76"/>
      <c r="O1057" s="76"/>
      <c r="P1057" s="76"/>
      <c r="Q1057" s="76"/>
      <c r="R1057" s="76"/>
      <c r="S1057" s="76"/>
      <c r="T1057" s="76"/>
      <c r="U1057" s="76"/>
      <c r="V1057" s="76"/>
      <c r="W1057" s="77"/>
    </row>
    <row r="1058" spans="1:23" x14ac:dyDescent="0.3">
      <c r="A1058" s="75"/>
      <c r="B1058" s="76"/>
      <c r="C1058" s="76"/>
      <c r="D1058" s="76"/>
      <c r="E1058" s="76"/>
      <c r="F1058" s="76"/>
      <c r="G1058" s="76"/>
      <c r="H1058" s="76"/>
      <c r="I1058" s="76"/>
      <c r="J1058" s="76"/>
      <c r="K1058" s="76"/>
      <c r="L1058" s="76"/>
      <c r="M1058" s="76"/>
      <c r="N1058" s="76"/>
      <c r="O1058" s="76"/>
      <c r="P1058" s="76"/>
      <c r="Q1058" s="76"/>
      <c r="R1058" s="76"/>
      <c r="S1058" s="76"/>
      <c r="T1058" s="76"/>
      <c r="U1058" s="76"/>
      <c r="V1058" s="76"/>
      <c r="W1058" s="77"/>
    </row>
    <row r="1059" spans="1:23" x14ac:dyDescent="0.3">
      <c r="A1059" s="75"/>
      <c r="B1059" s="76"/>
      <c r="C1059" s="76"/>
      <c r="D1059" s="76"/>
      <c r="E1059" s="76"/>
      <c r="F1059" s="76"/>
      <c r="G1059" s="76"/>
      <c r="H1059" s="76"/>
      <c r="I1059" s="76"/>
      <c r="J1059" s="76"/>
      <c r="K1059" s="76"/>
      <c r="L1059" s="76"/>
      <c r="M1059" s="76"/>
      <c r="N1059" s="76"/>
      <c r="O1059" s="76"/>
      <c r="P1059" s="76"/>
      <c r="Q1059" s="76"/>
      <c r="R1059" s="76"/>
      <c r="S1059" s="76"/>
      <c r="T1059" s="76"/>
      <c r="U1059" s="76"/>
      <c r="V1059" s="76"/>
      <c r="W1059" s="77"/>
    </row>
    <row r="1060" spans="1:23" x14ac:dyDescent="0.3">
      <c r="A1060" s="75"/>
      <c r="B1060" s="76"/>
      <c r="C1060" s="76"/>
      <c r="D1060" s="76"/>
      <c r="E1060" s="76"/>
      <c r="F1060" s="76"/>
      <c r="G1060" s="76"/>
      <c r="H1060" s="76"/>
      <c r="I1060" s="76"/>
      <c r="J1060" s="76"/>
      <c r="K1060" s="76"/>
      <c r="L1060" s="76"/>
      <c r="M1060" s="76"/>
      <c r="N1060" s="76"/>
      <c r="O1060" s="76"/>
      <c r="P1060" s="76"/>
      <c r="Q1060" s="76"/>
      <c r="R1060" s="76"/>
      <c r="S1060" s="76"/>
      <c r="T1060" s="76"/>
      <c r="U1060" s="76"/>
      <c r="V1060" s="76"/>
      <c r="W1060" s="77"/>
    </row>
    <row r="1061" spans="1:23" x14ac:dyDescent="0.3">
      <c r="A1061" s="75"/>
      <c r="B1061" s="76"/>
      <c r="C1061" s="76"/>
      <c r="D1061" s="76"/>
      <c r="E1061" s="76"/>
      <c r="F1061" s="76"/>
      <c r="G1061" s="76"/>
      <c r="H1061" s="76"/>
      <c r="I1061" s="76"/>
      <c r="J1061" s="76"/>
      <c r="K1061" s="76"/>
      <c r="L1061" s="76"/>
      <c r="M1061" s="76"/>
      <c r="N1061" s="76"/>
      <c r="O1061" s="76"/>
      <c r="P1061" s="76"/>
      <c r="Q1061" s="76"/>
      <c r="R1061" s="76"/>
      <c r="S1061" s="76"/>
      <c r="T1061" s="76"/>
      <c r="U1061" s="76"/>
      <c r="V1061" s="76"/>
      <c r="W1061" s="77"/>
    </row>
    <row r="1062" spans="1:23" x14ac:dyDescent="0.3">
      <c r="A1062" s="75"/>
      <c r="B1062" s="76"/>
      <c r="C1062" s="76"/>
      <c r="D1062" s="76"/>
      <c r="E1062" s="76"/>
      <c r="F1062" s="76"/>
      <c r="G1062" s="76"/>
      <c r="H1062" s="76"/>
      <c r="I1062" s="76"/>
      <c r="J1062" s="76"/>
      <c r="K1062" s="76"/>
      <c r="L1062" s="76"/>
      <c r="M1062" s="76"/>
      <c r="N1062" s="76"/>
      <c r="O1062" s="76"/>
      <c r="P1062" s="76"/>
      <c r="Q1062" s="76"/>
      <c r="R1062" s="76"/>
      <c r="S1062" s="76"/>
      <c r="T1062" s="76"/>
      <c r="U1062" s="76"/>
      <c r="V1062" s="76"/>
      <c r="W1062" s="77"/>
    </row>
    <row r="1063" spans="1:23" x14ac:dyDescent="0.3">
      <c r="A1063" s="75"/>
      <c r="B1063" s="76"/>
      <c r="C1063" s="76"/>
      <c r="D1063" s="76"/>
      <c r="E1063" s="76"/>
      <c r="F1063" s="76"/>
      <c r="G1063" s="76"/>
      <c r="H1063" s="76"/>
      <c r="I1063" s="76"/>
      <c r="J1063" s="76"/>
      <c r="K1063" s="76"/>
      <c r="L1063" s="76"/>
      <c r="M1063" s="76"/>
      <c r="N1063" s="76"/>
      <c r="O1063" s="76"/>
      <c r="P1063" s="76"/>
      <c r="Q1063" s="76"/>
      <c r="R1063" s="76"/>
      <c r="S1063" s="76"/>
      <c r="T1063" s="76"/>
      <c r="U1063" s="76"/>
      <c r="V1063" s="76"/>
      <c r="W1063" s="77"/>
    </row>
    <row r="1064" spans="1:23" x14ac:dyDescent="0.3">
      <c r="A1064" s="75"/>
      <c r="B1064" s="76"/>
      <c r="C1064" s="76"/>
      <c r="D1064" s="76"/>
      <c r="E1064" s="76"/>
      <c r="F1064" s="76"/>
      <c r="G1064" s="76"/>
      <c r="H1064" s="76"/>
      <c r="I1064" s="76"/>
      <c r="J1064" s="76"/>
      <c r="K1064" s="76"/>
      <c r="L1064" s="76"/>
      <c r="M1064" s="76"/>
      <c r="N1064" s="76"/>
      <c r="O1064" s="76"/>
      <c r="P1064" s="76"/>
      <c r="Q1064" s="76"/>
      <c r="R1064" s="76"/>
      <c r="S1064" s="76"/>
      <c r="T1064" s="76"/>
      <c r="U1064" s="76"/>
      <c r="V1064" s="76"/>
      <c r="W1064" s="77"/>
    </row>
    <row r="1065" spans="1:23" x14ac:dyDescent="0.3">
      <c r="A1065" s="75"/>
      <c r="B1065" s="76"/>
      <c r="C1065" s="76"/>
      <c r="D1065" s="76"/>
      <c r="E1065" s="76"/>
      <c r="F1065" s="76"/>
      <c r="G1065" s="76"/>
      <c r="H1065" s="76"/>
      <c r="I1065" s="76"/>
      <c r="J1065" s="76"/>
      <c r="K1065" s="76"/>
      <c r="L1065" s="76"/>
      <c r="M1065" s="76"/>
      <c r="N1065" s="76"/>
      <c r="O1065" s="76"/>
      <c r="P1065" s="76"/>
      <c r="Q1065" s="76"/>
      <c r="R1065" s="76"/>
      <c r="S1065" s="76"/>
      <c r="T1065" s="76"/>
      <c r="U1065" s="76"/>
      <c r="V1065" s="76"/>
      <c r="W1065" s="77"/>
    </row>
    <row r="1066" spans="1:23" x14ac:dyDescent="0.3">
      <c r="A1066" s="75"/>
      <c r="B1066" s="76"/>
      <c r="C1066" s="76"/>
      <c r="D1066" s="76"/>
      <c r="E1066" s="76"/>
      <c r="F1066" s="76"/>
      <c r="G1066" s="76"/>
      <c r="H1066" s="76"/>
      <c r="I1066" s="76"/>
      <c r="J1066" s="76"/>
      <c r="K1066" s="76"/>
      <c r="L1066" s="76"/>
      <c r="M1066" s="76"/>
      <c r="N1066" s="76"/>
      <c r="O1066" s="76"/>
      <c r="P1066" s="76"/>
      <c r="Q1066" s="76"/>
      <c r="R1066" s="76"/>
      <c r="S1066" s="76"/>
      <c r="T1066" s="76"/>
      <c r="U1066" s="76"/>
      <c r="V1066" s="76"/>
      <c r="W1066" s="77"/>
    </row>
    <row r="1067" spans="1:23" x14ac:dyDescent="0.3">
      <c r="A1067" s="75"/>
      <c r="B1067" s="76"/>
      <c r="C1067" s="76"/>
      <c r="D1067" s="76"/>
      <c r="E1067" s="76"/>
      <c r="F1067" s="76"/>
      <c r="G1067" s="76"/>
      <c r="H1067" s="76"/>
      <c r="I1067" s="76"/>
      <c r="J1067" s="76"/>
      <c r="K1067" s="76"/>
      <c r="L1067" s="76"/>
      <c r="M1067" s="76"/>
      <c r="N1067" s="76"/>
      <c r="O1067" s="76"/>
      <c r="P1067" s="76"/>
      <c r="Q1067" s="76"/>
      <c r="R1067" s="76"/>
      <c r="S1067" s="76"/>
      <c r="T1067" s="76"/>
      <c r="U1067" s="76"/>
      <c r="V1067" s="76"/>
      <c r="W1067" s="77"/>
    </row>
    <row r="1068" spans="1:23" x14ac:dyDescent="0.3">
      <c r="A1068" s="75"/>
      <c r="B1068" s="76"/>
      <c r="C1068" s="76"/>
      <c r="D1068" s="76"/>
      <c r="E1068" s="76"/>
      <c r="F1068" s="76"/>
      <c r="G1068" s="76"/>
      <c r="H1068" s="76"/>
      <c r="I1068" s="76"/>
      <c r="J1068" s="76"/>
      <c r="K1068" s="76"/>
      <c r="L1068" s="76"/>
      <c r="M1068" s="76"/>
      <c r="N1068" s="76"/>
      <c r="O1068" s="76"/>
      <c r="P1068" s="76"/>
      <c r="Q1068" s="76"/>
      <c r="R1068" s="76"/>
      <c r="S1068" s="76"/>
      <c r="T1068" s="76"/>
      <c r="U1068" s="76"/>
      <c r="V1068" s="76"/>
      <c r="W1068" s="77"/>
    </row>
    <row r="1069" spans="1:23" x14ac:dyDescent="0.3">
      <c r="A1069" s="75"/>
      <c r="B1069" s="76"/>
      <c r="C1069" s="76"/>
      <c r="D1069" s="76"/>
      <c r="E1069" s="76"/>
      <c r="F1069" s="76"/>
      <c r="G1069" s="76"/>
      <c r="H1069" s="76"/>
      <c r="I1069" s="76"/>
      <c r="J1069" s="76"/>
      <c r="K1069" s="76"/>
      <c r="L1069" s="76"/>
      <c r="M1069" s="76"/>
      <c r="N1069" s="76"/>
      <c r="O1069" s="76"/>
      <c r="P1069" s="76"/>
      <c r="Q1069" s="76"/>
      <c r="R1069" s="76"/>
      <c r="S1069" s="76"/>
      <c r="T1069" s="76"/>
      <c r="U1069" s="76"/>
      <c r="V1069" s="76"/>
      <c r="W1069" s="77"/>
    </row>
    <row r="1070" spans="1:23" x14ac:dyDescent="0.3">
      <c r="A1070" s="75"/>
      <c r="B1070" s="76"/>
      <c r="C1070" s="76"/>
      <c r="D1070" s="76"/>
      <c r="E1070" s="76"/>
      <c r="F1070" s="76"/>
      <c r="G1070" s="76"/>
      <c r="H1070" s="76"/>
      <c r="I1070" s="76"/>
      <c r="J1070" s="76"/>
      <c r="K1070" s="76"/>
      <c r="L1070" s="76"/>
      <c r="M1070" s="76"/>
      <c r="N1070" s="76"/>
      <c r="O1070" s="76"/>
      <c r="P1070" s="76"/>
      <c r="Q1070" s="76"/>
      <c r="R1070" s="76"/>
      <c r="S1070" s="76"/>
      <c r="T1070" s="76"/>
      <c r="U1070" s="76"/>
      <c r="V1070" s="76"/>
      <c r="W1070" s="77"/>
    </row>
    <row r="1071" spans="1:23" x14ac:dyDescent="0.3">
      <c r="A1071" s="75"/>
      <c r="B1071" s="76"/>
      <c r="C1071" s="76"/>
      <c r="D1071" s="76"/>
      <c r="E1071" s="76"/>
      <c r="F1071" s="76"/>
      <c r="G1071" s="76"/>
      <c r="H1071" s="76"/>
      <c r="I1071" s="76"/>
      <c r="J1071" s="76"/>
      <c r="K1071" s="76"/>
      <c r="L1071" s="76"/>
      <c r="M1071" s="76"/>
      <c r="N1071" s="76"/>
      <c r="O1071" s="76"/>
      <c r="P1071" s="76"/>
      <c r="Q1071" s="76"/>
      <c r="R1071" s="76"/>
      <c r="S1071" s="76"/>
      <c r="T1071" s="76"/>
      <c r="U1071" s="76"/>
      <c r="V1071" s="76"/>
      <c r="W1071" s="77"/>
    </row>
    <row r="1072" spans="1:23" x14ac:dyDescent="0.3">
      <c r="A1072" s="75"/>
      <c r="B1072" s="76"/>
      <c r="C1072" s="76"/>
      <c r="D1072" s="76"/>
      <c r="E1072" s="76"/>
      <c r="F1072" s="76"/>
      <c r="G1072" s="76"/>
      <c r="H1072" s="76"/>
      <c r="I1072" s="76"/>
      <c r="J1072" s="76"/>
      <c r="K1072" s="76"/>
      <c r="L1072" s="76"/>
      <c r="M1072" s="76"/>
      <c r="N1072" s="76"/>
      <c r="O1072" s="76"/>
      <c r="P1072" s="76"/>
      <c r="Q1072" s="76"/>
      <c r="R1072" s="76"/>
      <c r="S1072" s="76"/>
      <c r="T1072" s="76"/>
      <c r="U1072" s="76"/>
      <c r="V1072" s="76"/>
      <c r="W1072" s="77"/>
    </row>
    <row r="1073" spans="1:23" x14ac:dyDescent="0.3">
      <c r="A1073" s="75"/>
      <c r="B1073" s="76"/>
      <c r="C1073" s="76"/>
      <c r="D1073" s="76"/>
      <c r="E1073" s="76"/>
      <c r="F1073" s="76"/>
      <c r="G1073" s="76"/>
      <c r="H1073" s="76"/>
      <c r="I1073" s="76"/>
      <c r="J1073" s="76"/>
      <c r="K1073" s="76"/>
      <c r="L1073" s="76"/>
      <c r="M1073" s="76"/>
      <c r="N1073" s="76"/>
      <c r="O1073" s="76"/>
      <c r="P1073" s="76"/>
      <c r="Q1073" s="76"/>
      <c r="R1073" s="76"/>
      <c r="S1073" s="76"/>
      <c r="T1073" s="76"/>
      <c r="U1073" s="76"/>
      <c r="V1073" s="76"/>
      <c r="W1073" s="77"/>
    </row>
    <row r="1074" spans="1:23" x14ac:dyDescent="0.3">
      <c r="A1074" s="75"/>
      <c r="B1074" s="76"/>
      <c r="C1074" s="76"/>
      <c r="D1074" s="76"/>
      <c r="E1074" s="76"/>
      <c r="F1074" s="76"/>
      <c r="G1074" s="76"/>
      <c r="H1074" s="76"/>
      <c r="I1074" s="76"/>
      <c r="J1074" s="76"/>
      <c r="K1074" s="76"/>
      <c r="L1074" s="76"/>
      <c r="M1074" s="76"/>
      <c r="N1074" s="76"/>
      <c r="O1074" s="76"/>
      <c r="P1074" s="76"/>
      <c r="Q1074" s="76"/>
      <c r="R1074" s="76"/>
      <c r="S1074" s="76"/>
      <c r="T1074" s="76"/>
      <c r="U1074" s="76"/>
      <c r="V1074" s="76"/>
      <c r="W1074" s="77"/>
    </row>
    <row r="1075" spans="1:23" x14ac:dyDescent="0.3">
      <c r="A1075" s="75"/>
      <c r="B1075" s="76"/>
      <c r="C1075" s="76"/>
      <c r="D1075" s="76"/>
      <c r="E1075" s="76"/>
      <c r="F1075" s="76"/>
      <c r="G1075" s="76"/>
      <c r="H1075" s="76"/>
      <c r="I1075" s="76"/>
      <c r="J1075" s="76"/>
      <c r="K1075" s="76"/>
      <c r="L1075" s="76"/>
      <c r="M1075" s="76"/>
      <c r="N1075" s="76"/>
      <c r="O1075" s="76"/>
      <c r="P1075" s="76"/>
      <c r="Q1075" s="76"/>
      <c r="R1075" s="76"/>
      <c r="S1075" s="76"/>
      <c r="T1075" s="76"/>
      <c r="U1075" s="76"/>
      <c r="V1075" s="76"/>
      <c r="W1075" s="77"/>
    </row>
    <row r="1076" spans="1:23" x14ac:dyDescent="0.3">
      <c r="A1076" s="75"/>
      <c r="B1076" s="76"/>
      <c r="C1076" s="76"/>
      <c r="D1076" s="76"/>
      <c r="E1076" s="76"/>
      <c r="F1076" s="76"/>
      <c r="G1076" s="76"/>
      <c r="H1076" s="76"/>
      <c r="I1076" s="76"/>
      <c r="J1076" s="76"/>
      <c r="K1076" s="76"/>
      <c r="L1076" s="76"/>
      <c r="M1076" s="76"/>
      <c r="N1076" s="76"/>
      <c r="O1076" s="76"/>
      <c r="P1076" s="76"/>
      <c r="Q1076" s="76"/>
      <c r="R1076" s="76"/>
      <c r="S1076" s="76"/>
      <c r="T1076" s="76"/>
      <c r="U1076" s="76"/>
      <c r="V1076" s="76"/>
      <c r="W1076" s="77"/>
    </row>
    <row r="1077" spans="1:23" x14ac:dyDescent="0.3">
      <c r="A1077" s="75"/>
      <c r="B1077" s="76"/>
      <c r="C1077" s="76"/>
      <c r="D1077" s="76"/>
      <c r="E1077" s="76"/>
      <c r="F1077" s="76"/>
      <c r="G1077" s="76"/>
      <c r="H1077" s="76"/>
      <c r="I1077" s="76"/>
      <c r="J1077" s="76"/>
      <c r="K1077" s="76"/>
      <c r="L1077" s="76"/>
      <c r="M1077" s="76"/>
      <c r="N1077" s="76"/>
      <c r="O1077" s="76"/>
      <c r="P1077" s="76"/>
      <c r="Q1077" s="76"/>
      <c r="R1077" s="76"/>
      <c r="S1077" s="76"/>
      <c r="T1077" s="76"/>
      <c r="U1077" s="76"/>
      <c r="V1077" s="76"/>
      <c r="W1077" s="77"/>
    </row>
    <row r="1078" spans="1:23" x14ac:dyDescent="0.3">
      <c r="A1078" s="75"/>
      <c r="B1078" s="76"/>
      <c r="C1078" s="76"/>
      <c r="D1078" s="76"/>
      <c r="E1078" s="76"/>
      <c r="F1078" s="76"/>
      <c r="G1078" s="76"/>
      <c r="H1078" s="76"/>
      <c r="I1078" s="76"/>
      <c r="J1078" s="76"/>
      <c r="K1078" s="76"/>
      <c r="L1078" s="76"/>
      <c r="M1078" s="76"/>
      <c r="N1078" s="76"/>
      <c r="O1078" s="76"/>
      <c r="P1078" s="76"/>
      <c r="Q1078" s="76"/>
      <c r="R1078" s="76"/>
      <c r="S1078" s="76"/>
      <c r="T1078" s="76"/>
      <c r="U1078" s="76"/>
      <c r="V1078" s="76"/>
      <c r="W1078" s="77"/>
    </row>
    <row r="1079" spans="1:23" x14ac:dyDescent="0.3">
      <c r="A1079" s="75"/>
      <c r="B1079" s="76"/>
      <c r="C1079" s="76"/>
      <c r="D1079" s="76"/>
      <c r="E1079" s="76"/>
      <c r="F1079" s="76"/>
      <c r="G1079" s="76"/>
      <c r="H1079" s="76"/>
      <c r="I1079" s="76"/>
      <c r="J1079" s="76"/>
      <c r="K1079" s="76"/>
      <c r="L1079" s="76"/>
      <c r="M1079" s="76"/>
      <c r="N1079" s="76"/>
      <c r="O1079" s="76"/>
      <c r="P1079" s="76"/>
      <c r="Q1079" s="76"/>
      <c r="R1079" s="76"/>
      <c r="S1079" s="76"/>
      <c r="T1079" s="76"/>
      <c r="U1079" s="76"/>
      <c r="V1079" s="76"/>
      <c r="W1079" s="77"/>
    </row>
    <row r="1080" spans="1:23" x14ac:dyDescent="0.3">
      <c r="A1080" s="75"/>
      <c r="B1080" s="76"/>
      <c r="C1080" s="76"/>
      <c r="D1080" s="76"/>
      <c r="E1080" s="76"/>
      <c r="F1080" s="76"/>
      <c r="G1080" s="76"/>
      <c r="H1080" s="76"/>
      <c r="I1080" s="76"/>
      <c r="J1080" s="76"/>
      <c r="K1080" s="76"/>
      <c r="L1080" s="76"/>
      <c r="M1080" s="76"/>
      <c r="N1080" s="76"/>
      <c r="O1080" s="76"/>
      <c r="P1080" s="76"/>
      <c r="Q1080" s="76"/>
      <c r="R1080" s="76"/>
      <c r="S1080" s="76"/>
      <c r="T1080" s="76"/>
      <c r="U1080" s="76"/>
      <c r="V1080" s="76"/>
      <c r="W1080" s="77"/>
    </row>
    <row r="1081" spans="1:23" x14ac:dyDescent="0.3">
      <c r="A1081" s="75"/>
      <c r="B1081" s="76"/>
      <c r="C1081" s="76"/>
      <c r="D1081" s="76"/>
      <c r="E1081" s="76"/>
      <c r="F1081" s="76"/>
      <c r="G1081" s="76"/>
      <c r="H1081" s="76"/>
      <c r="I1081" s="76"/>
      <c r="J1081" s="76"/>
      <c r="K1081" s="76"/>
      <c r="L1081" s="76"/>
      <c r="M1081" s="76"/>
      <c r="N1081" s="76"/>
      <c r="O1081" s="76"/>
      <c r="P1081" s="76"/>
      <c r="Q1081" s="76"/>
      <c r="R1081" s="76"/>
      <c r="S1081" s="76"/>
      <c r="T1081" s="76"/>
      <c r="U1081" s="76"/>
      <c r="V1081" s="76"/>
      <c r="W1081" s="77"/>
    </row>
    <row r="1082" spans="1:23" x14ac:dyDescent="0.3">
      <c r="A1082" s="75"/>
      <c r="B1082" s="76"/>
      <c r="C1082" s="76"/>
      <c r="D1082" s="76"/>
      <c r="E1082" s="76"/>
      <c r="F1082" s="76"/>
      <c r="G1082" s="76"/>
      <c r="H1082" s="76"/>
      <c r="I1082" s="76"/>
      <c r="J1082" s="76"/>
      <c r="K1082" s="76"/>
      <c r="L1082" s="76"/>
      <c r="M1082" s="76"/>
      <c r="N1082" s="76"/>
      <c r="O1082" s="76"/>
      <c r="P1082" s="76"/>
      <c r="Q1082" s="76"/>
      <c r="R1082" s="76"/>
      <c r="S1082" s="76"/>
      <c r="T1082" s="76"/>
      <c r="U1082" s="76"/>
      <c r="V1082" s="76"/>
      <c r="W1082" s="77"/>
    </row>
    <row r="1083" spans="1:23" x14ac:dyDescent="0.3">
      <c r="A1083" s="75"/>
      <c r="B1083" s="76"/>
      <c r="C1083" s="76"/>
      <c r="D1083" s="76"/>
      <c r="E1083" s="76"/>
      <c r="F1083" s="76"/>
      <c r="G1083" s="76"/>
      <c r="H1083" s="76"/>
      <c r="I1083" s="76"/>
      <c r="J1083" s="76"/>
      <c r="K1083" s="76"/>
      <c r="L1083" s="76"/>
      <c r="M1083" s="76"/>
      <c r="N1083" s="76"/>
      <c r="O1083" s="76"/>
      <c r="P1083" s="76"/>
      <c r="Q1083" s="76"/>
      <c r="R1083" s="76"/>
      <c r="S1083" s="76"/>
      <c r="T1083" s="76"/>
      <c r="U1083" s="76"/>
      <c r="V1083" s="76"/>
      <c r="W1083" s="77"/>
    </row>
    <row r="1084" spans="1:23" x14ac:dyDescent="0.3">
      <c r="A1084" s="75"/>
      <c r="B1084" s="76"/>
      <c r="C1084" s="76"/>
      <c r="D1084" s="76"/>
      <c r="E1084" s="76"/>
      <c r="F1084" s="76"/>
      <c r="G1084" s="76"/>
      <c r="H1084" s="76"/>
      <c r="I1084" s="76"/>
      <c r="J1084" s="76"/>
      <c r="K1084" s="76"/>
      <c r="L1084" s="76"/>
      <c r="M1084" s="76"/>
      <c r="N1084" s="76"/>
      <c r="O1084" s="76"/>
      <c r="P1084" s="76"/>
      <c r="Q1084" s="76"/>
      <c r="R1084" s="76"/>
      <c r="S1084" s="76"/>
      <c r="T1084" s="76"/>
      <c r="U1084" s="76"/>
      <c r="V1084" s="76"/>
      <c r="W1084" s="77"/>
    </row>
    <row r="1085" spans="1:23" x14ac:dyDescent="0.3">
      <c r="A1085" s="75"/>
      <c r="B1085" s="76"/>
      <c r="C1085" s="76"/>
      <c r="D1085" s="76"/>
      <c r="E1085" s="76"/>
      <c r="F1085" s="76"/>
      <c r="G1085" s="76"/>
      <c r="H1085" s="76"/>
      <c r="I1085" s="76"/>
      <c r="J1085" s="76"/>
      <c r="K1085" s="76"/>
      <c r="L1085" s="76"/>
      <c r="M1085" s="76"/>
      <c r="N1085" s="76"/>
      <c r="O1085" s="76"/>
      <c r="P1085" s="76"/>
      <c r="Q1085" s="76"/>
      <c r="R1085" s="76"/>
      <c r="S1085" s="76"/>
      <c r="T1085" s="76"/>
      <c r="U1085" s="76"/>
      <c r="V1085" s="76"/>
      <c r="W1085" s="77"/>
    </row>
    <row r="1086" spans="1:23" x14ac:dyDescent="0.3">
      <c r="A1086" s="75"/>
      <c r="B1086" s="76"/>
      <c r="C1086" s="76"/>
      <c r="D1086" s="76"/>
      <c r="E1086" s="76"/>
      <c r="F1086" s="76"/>
      <c r="G1086" s="76"/>
      <c r="H1086" s="76"/>
      <c r="I1086" s="76"/>
      <c r="J1086" s="76"/>
      <c r="K1086" s="76"/>
      <c r="L1086" s="76"/>
      <c r="M1086" s="76"/>
      <c r="N1086" s="76"/>
      <c r="O1086" s="76"/>
      <c r="P1086" s="76"/>
      <c r="Q1086" s="76"/>
      <c r="R1086" s="76"/>
      <c r="S1086" s="76"/>
      <c r="T1086" s="76"/>
      <c r="U1086" s="76"/>
      <c r="V1086" s="76"/>
      <c r="W1086" s="77"/>
    </row>
    <row r="1087" spans="1:23" x14ac:dyDescent="0.3">
      <c r="A1087" s="75"/>
      <c r="B1087" s="76"/>
      <c r="C1087" s="76"/>
      <c r="D1087" s="76"/>
      <c r="E1087" s="76"/>
      <c r="F1087" s="76"/>
      <c r="G1087" s="76"/>
      <c r="H1087" s="76"/>
      <c r="I1087" s="76"/>
      <c r="J1087" s="76"/>
      <c r="K1087" s="76"/>
      <c r="L1087" s="76"/>
      <c r="M1087" s="76"/>
      <c r="N1087" s="76"/>
      <c r="O1087" s="76"/>
      <c r="P1087" s="76"/>
      <c r="Q1087" s="76"/>
      <c r="R1087" s="76"/>
      <c r="S1087" s="76"/>
      <c r="T1087" s="76"/>
      <c r="U1087" s="76"/>
      <c r="V1087" s="76"/>
      <c r="W1087" s="77"/>
    </row>
    <row r="1088" spans="1:23" x14ac:dyDescent="0.3">
      <c r="A1088" s="75"/>
      <c r="B1088" s="76"/>
      <c r="C1088" s="76"/>
      <c r="D1088" s="76"/>
      <c r="E1088" s="76"/>
      <c r="F1088" s="76"/>
      <c r="G1088" s="76"/>
      <c r="H1088" s="76"/>
      <c r="I1088" s="76"/>
      <c r="J1088" s="76"/>
      <c r="K1088" s="76"/>
      <c r="L1088" s="76"/>
      <c r="M1088" s="76"/>
      <c r="N1088" s="76"/>
      <c r="O1088" s="76"/>
      <c r="P1088" s="76"/>
      <c r="Q1088" s="76"/>
      <c r="R1088" s="76"/>
      <c r="S1088" s="76"/>
      <c r="T1088" s="76"/>
      <c r="U1088" s="76"/>
      <c r="V1088" s="76"/>
      <c r="W1088" s="77"/>
    </row>
    <row r="1089" spans="1:23" x14ac:dyDescent="0.3">
      <c r="A1089" s="75"/>
      <c r="B1089" s="76"/>
      <c r="C1089" s="76"/>
      <c r="D1089" s="76"/>
      <c r="E1089" s="76"/>
      <c r="F1089" s="76"/>
      <c r="G1089" s="76"/>
      <c r="H1089" s="76"/>
      <c r="I1089" s="76"/>
      <c r="J1089" s="76"/>
      <c r="K1089" s="76"/>
      <c r="L1089" s="76"/>
      <c r="M1089" s="76"/>
      <c r="N1089" s="76"/>
      <c r="O1089" s="76"/>
      <c r="P1089" s="76"/>
      <c r="Q1089" s="76"/>
      <c r="R1089" s="76"/>
      <c r="S1089" s="76"/>
      <c r="T1089" s="76"/>
      <c r="U1089" s="76"/>
      <c r="V1089" s="76"/>
      <c r="W1089" s="77"/>
    </row>
    <row r="1090" spans="1:23" x14ac:dyDescent="0.3">
      <c r="A1090" s="75"/>
      <c r="B1090" s="76"/>
      <c r="C1090" s="76"/>
      <c r="D1090" s="76"/>
      <c r="E1090" s="76"/>
      <c r="F1090" s="76"/>
      <c r="G1090" s="76"/>
      <c r="H1090" s="76"/>
      <c r="I1090" s="76"/>
      <c r="J1090" s="76"/>
      <c r="K1090" s="76"/>
      <c r="L1090" s="76"/>
      <c r="M1090" s="76"/>
      <c r="N1090" s="76"/>
      <c r="O1090" s="76"/>
      <c r="P1090" s="76"/>
      <c r="Q1090" s="76"/>
      <c r="R1090" s="76"/>
      <c r="S1090" s="76"/>
      <c r="T1090" s="76"/>
      <c r="U1090" s="76"/>
      <c r="V1090" s="76"/>
      <c r="W1090" s="77"/>
    </row>
    <row r="1091" spans="1:23" x14ac:dyDescent="0.3">
      <c r="A1091" s="75"/>
      <c r="B1091" s="76"/>
      <c r="C1091" s="76"/>
      <c r="D1091" s="76"/>
      <c r="E1091" s="76"/>
      <c r="F1091" s="76"/>
      <c r="G1091" s="76"/>
      <c r="H1091" s="76"/>
      <c r="I1091" s="76"/>
      <c r="J1091" s="76"/>
      <c r="K1091" s="76"/>
      <c r="L1091" s="76"/>
      <c r="M1091" s="76"/>
      <c r="N1091" s="76"/>
      <c r="O1091" s="76"/>
      <c r="P1091" s="76"/>
      <c r="Q1091" s="76"/>
      <c r="R1091" s="76"/>
      <c r="S1091" s="76"/>
      <c r="T1091" s="76"/>
      <c r="U1091" s="76"/>
      <c r="V1091" s="76"/>
      <c r="W1091" s="77"/>
    </row>
    <row r="1092" spans="1:23" x14ac:dyDescent="0.3">
      <c r="A1092" s="75"/>
      <c r="B1092" s="76"/>
      <c r="C1092" s="76"/>
      <c r="D1092" s="76"/>
      <c r="E1092" s="76"/>
      <c r="F1092" s="76"/>
      <c r="G1092" s="76"/>
      <c r="H1092" s="76"/>
      <c r="I1092" s="76"/>
      <c r="J1092" s="76"/>
      <c r="K1092" s="76"/>
      <c r="L1092" s="76"/>
      <c r="M1092" s="76"/>
      <c r="N1092" s="76"/>
      <c r="O1092" s="76"/>
      <c r="P1092" s="76"/>
      <c r="Q1092" s="76"/>
      <c r="R1092" s="76"/>
      <c r="S1092" s="76"/>
      <c r="T1092" s="76"/>
      <c r="U1092" s="76"/>
      <c r="V1092" s="76"/>
      <c r="W1092" s="77"/>
    </row>
    <row r="1093" spans="1:23" x14ac:dyDescent="0.3">
      <c r="A1093" s="75"/>
      <c r="B1093" s="76"/>
      <c r="C1093" s="76"/>
      <c r="D1093" s="76"/>
      <c r="E1093" s="76"/>
      <c r="F1093" s="76"/>
      <c r="G1093" s="76"/>
      <c r="H1093" s="76"/>
      <c r="I1093" s="76"/>
      <c r="J1093" s="76"/>
      <c r="K1093" s="76"/>
      <c r="L1093" s="76"/>
      <c r="M1093" s="76"/>
      <c r="N1093" s="76"/>
      <c r="O1093" s="76"/>
      <c r="P1093" s="76"/>
      <c r="Q1093" s="76"/>
      <c r="R1093" s="76"/>
      <c r="S1093" s="76"/>
      <c r="T1093" s="76"/>
      <c r="U1093" s="76"/>
      <c r="V1093" s="76"/>
      <c r="W1093" s="77"/>
    </row>
    <row r="1094" spans="1:23" x14ac:dyDescent="0.3">
      <c r="A1094" s="75"/>
      <c r="B1094" s="76"/>
      <c r="C1094" s="76"/>
      <c r="D1094" s="76"/>
      <c r="E1094" s="76"/>
      <c r="F1094" s="76"/>
      <c r="G1094" s="76"/>
      <c r="H1094" s="76"/>
      <c r="I1094" s="76"/>
      <c r="J1094" s="76"/>
      <c r="K1094" s="76"/>
      <c r="L1094" s="76"/>
      <c r="M1094" s="76"/>
      <c r="N1094" s="76"/>
      <c r="O1094" s="76"/>
      <c r="P1094" s="76"/>
      <c r="Q1094" s="76"/>
      <c r="R1094" s="76"/>
      <c r="S1094" s="76"/>
      <c r="T1094" s="76"/>
      <c r="U1094" s="76"/>
      <c r="V1094" s="76"/>
      <c r="W1094" s="77"/>
    </row>
    <row r="1095" spans="1:23" x14ac:dyDescent="0.3">
      <c r="A1095" s="75"/>
      <c r="B1095" s="76"/>
      <c r="C1095" s="76"/>
      <c r="D1095" s="76"/>
      <c r="E1095" s="76"/>
      <c r="F1095" s="76"/>
      <c r="G1095" s="76"/>
      <c r="H1095" s="76"/>
      <c r="I1095" s="76"/>
      <c r="J1095" s="76"/>
      <c r="K1095" s="76"/>
      <c r="L1095" s="76"/>
      <c r="M1095" s="76"/>
      <c r="N1095" s="76"/>
      <c r="O1095" s="76"/>
      <c r="P1095" s="76"/>
      <c r="Q1095" s="76"/>
      <c r="R1095" s="76"/>
      <c r="S1095" s="76"/>
      <c r="T1095" s="76"/>
      <c r="U1095" s="76"/>
      <c r="V1095" s="76"/>
      <c r="W1095" s="77"/>
    </row>
    <row r="1096" spans="1:23" x14ac:dyDescent="0.3">
      <c r="A1096" s="75"/>
      <c r="B1096" s="76"/>
      <c r="C1096" s="76"/>
      <c r="D1096" s="76"/>
      <c r="E1096" s="76"/>
      <c r="F1096" s="76"/>
      <c r="G1096" s="76"/>
      <c r="H1096" s="76"/>
      <c r="I1096" s="76"/>
      <c r="J1096" s="76"/>
      <c r="K1096" s="76"/>
      <c r="L1096" s="76"/>
      <c r="M1096" s="76"/>
      <c r="N1096" s="76"/>
      <c r="O1096" s="76"/>
      <c r="P1096" s="76"/>
      <c r="Q1096" s="76"/>
      <c r="R1096" s="76"/>
      <c r="S1096" s="76"/>
      <c r="T1096" s="76"/>
      <c r="U1096" s="76"/>
      <c r="V1096" s="76"/>
      <c r="W1096" s="77"/>
    </row>
    <row r="1097" spans="1:23" x14ac:dyDescent="0.3">
      <c r="A1097" s="75"/>
      <c r="B1097" s="76"/>
      <c r="C1097" s="76"/>
      <c r="D1097" s="76"/>
      <c r="E1097" s="76"/>
      <c r="F1097" s="76"/>
      <c r="G1097" s="76"/>
      <c r="H1097" s="76"/>
      <c r="I1097" s="76"/>
      <c r="J1097" s="76"/>
      <c r="K1097" s="76"/>
      <c r="L1097" s="76"/>
      <c r="M1097" s="76"/>
      <c r="N1097" s="76"/>
      <c r="O1097" s="76"/>
      <c r="P1097" s="76"/>
      <c r="Q1097" s="76"/>
      <c r="R1097" s="76"/>
      <c r="S1097" s="76"/>
      <c r="T1097" s="76"/>
      <c r="U1097" s="76"/>
      <c r="V1097" s="76"/>
      <c r="W1097" s="77"/>
    </row>
    <row r="1098" spans="1:23" x14ac:dyDescent="0.3">
      <c r="A1098" s="75"/>
      <c r="B1098" s="76"/>
      <c r="C1098" s="76"/>
      <c r="D1098" s="76"/>
      <c r="E1098" s="76"/>
      <c r="F1098" s="76"/>
      <c r="G1098" s="76"/>
      <c r="H1098" s="76"/>
      <c r="I1098" s="76"/>
      <c r="J1098" s="76"/>
      <c r="K1098" s="76"/>
      <c r="L1098" s="76"/>
      <c r="M1098" s="76"/>
      <c r="N1098" s="76"/>
      <c r="O1098" s="76"/>
      <c r="P1098" s="76"/>
      <c r="Q1098" s="76"/>
      <c r="R1098" s="76"/>
      <c r="S1098" s="76"/>
      <c r="T1098" s="76"/>
      <c r="U1098" s="76"/>
      <c r="V1098" s="76"/>
      <c r="W1098" s="77"/>
    </row>
    <row r="1099" spans="1:23" x14ac:dyDescent="0.3">
      <c r="A1099" s="75"/>
      <c r="B1099" s="76"/>
      <c r="C1099" s="76"/>
      <c r="D1099" s="76"/>
      <c r="E1099" s="76"/>
      <c r="F1099" s="76"/>
      <c r="G1099" s="76"/>
      <c r="H1099" s="76"/>
      <c r="I1099" s="76"/>
      <c r="J1099" s="76"/>
      <c r="K1099" s="76"/>
      <c r="L1099" s="76"/>
      <c r="M1099" s="76"/>
      <c r="N1099" s="76"/>
      <c r="O1099" s="76"/>
      <c r="P1099" s="76"/>
      <c r="Q1099" s="76"/>
      <c r="R1099" s="76"/>
      <c r="S1099" s="76"/>
      <c r="T1099" s="76"/>
      <c r="U1099" s="76"/>
      <c r="V1099" s="76"/>
      <c r="W1099" s="77"/>
    </row>
    <row r="1100" spans="1:23" x14ac:dyDescent="0.3">
      <c r="A1100" s="75"/>
      <c r="B1100" s="76"/>
      <c r="C1100" s="76"/>
      <c r="D1100" s="76"/>
      <c r="E1100" s="76"/>
      <c r="F1100" s="76"/>
      <c r="G1100" s="76"/>
      <c r="H1100" s="76"/>
      <c r="I1100" s="76"/>
      <c r="J1100" s="76"/>
      <c r="K1100" s="76"/>
      <c r="L1100" s="76"/>
      <c r="M1100" s="76"/>
      <c r="N1100" s="76"/>
      <c r="O1100" s="76"/>
      <c r="P1100" s="76"/>
      <c r="Q1100" s="76"/>
      <c r="R1100" s="76"/>
      <c r="S1100" s="76"/>
      <c r="T1100" s="76"/>
      <c r="U1100" s="76"/>
      <c r="V1100" s="76"/>
      <c r="W1100" s="77"/>
    </row>
    <row r="1101" spans="1:23" x14ac:dyDescent="0.3">
      <c r="A1101" s="75"/>
      <c r="B1101" s="76"/>
      <c r="C1101" s="76"/>
      <c r="D1101" s="76"/>
      <c r="E1101" s="76"/>
      <c r="F1101" s="76"/>
      <c r="G1101" s="76"/>
      <c r="H1101" s="76"/>
      <c r="I1101" s="76"/>
      <c r="J1101" s="76"/>
      <c r="K1101" s="76"/>
      <c r="L1101" s="76"/>
      <c r="M1101" s="76"/>
      <c r="N1101" s="76"/>
      <c r="O1101" s="76"/>
      <c r="P1101" s="76"/>
      <c r="Q1101" s="76"/>
      <c r="R1101" s="76"/>
      <c r="S1101" s="76"/>
      <c r="T1101" s="76"/>
      <c r="U1101" s="76"/>
      <c r="V1101" s="76"/>
      <c r="W1101" s="77"/>
    </row>
    <row r="1102" spans="1:23" ht="15" thickBot="1" x14ac:dyDescent="0.35">
      <c r="A1102" s="78"/>
      <c r="B1102" s="79"/>
      <c r="C1102" s="79"/>
      <c r="D1102" s="79"/>
      <c r="E1102" s="79"/>
      <c r="F1102" s="79"/>
      <c r="G1102" s="79"/>
      <c r="H1102" s="79"/>
      <c r="I1102" s="79"/>
      <c r="J1102" s="79"/>
      <c r="K1102" s="79"/>
      <c r="L1102" s="79"/>
      <c r="M1102" s="79"/>
      <c r="N1102" s="79"/>
      <c r="O1102" s="79"/>
      <c r="P1102" s="79"/>
      <c r="Q1102" s="79"/>
      <c r="R1102" s="79"/>
      <c r="S1102" s="79"/>
      <c r="T1102" s="79"/>
      <c r="U1102" s="79"/>
      <c r="V1102" s="79"/>
      <c r="W1102" s="80"/>
    </row>
  </sheetData>
  <mergeCells count="9">
    <mergeCell ref="M4:O4"/>
    <mergeCell ref="V5:W5"/>
    <mergeCell ref="A1:I3"/>
    <mergeCell ref="A5:K5"/>
    <mergeCell ref="M2:N2"/>
    <mergeCell ref="A4:J4"/>
    <mergeCell ref="M3:P3"/>
    <mergeCell ref="L5:U5"/>
    <mergeCell ref="R1:T4"/>
  </mergeCells>
  <conditionalFormatting sqref="U7:U39">
    <cfRule type="expression" dxfId="1" priority="2">
      <formula>"credit"</formula>
    </cfRule>
  </conditionalFormatting>
  <conditionalFormatting sqref="U9">
    <cfRule type="expression" dxfId="0" priority="1">
      <formula>"Credit"</formula>
    </cfRule>
  </conditionalFormatting>
  <conditionalFormatting sqref="W7:W38">
    <cfRule type="colorScale" priority="3">
      <colorScale>
        <cfvo type="num" val="10"/>
        <cfvo type="num" val="11"/>
        <cfvo type="num" val="30"/>
        <color rgb="FFFF0000"/>
        <color rgb="FFFFEB84"/>
        <color theme="9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U7:U38 M4" xr:uid="{0F44B2C8-1DFB-4C01-80A6-7D3322BA1DD8}">
      <formula1>"Credit , online , cash , cheque"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604F-FD7F-4C8B-A9FF-2E26D6F6EBDC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BBF91-8A63-420E-A330-60FFC847A751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0152C-28CB-4BC6-8F7B-1932A4C163B8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5634B-7186-453D-964D-48FBB9E6DE0A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94404-79E3-4DC0-A9D7-D0B34288FB8B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4910E-6BB9-4A25-A698-5AD14AF941FD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86C14-814D-4C70-B23E-1B81E359266E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91E51-94B2-49BB-9387-EB074A8AF816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A34B04-6DA8-4564-88FF-2513702CA4B4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DDE48-26EC-48AF-B265-30110CA80CAF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F34F6-DA41-4576-89B0-8CEEFCBFA69E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C5EAD-7E1A-4165-8481-59731236204F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AD59A-5C5D-4FFD-A094-3114BEAD2578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31533-D021-46FB-A09F-598127EB9358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3BA76-146B-4F1C-B14C-A51044A4D1DC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5CA2F-DCBD-4DB3-A51A-4356BF33117E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33BFB-3C23-4021-B8AF-0F199FA97529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086AA-CB53-4524-B004-FBB5B66FDE29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81198-4731-445D-B700-47716621BC62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C5A6C-7509-42EC-A90F-9A814571BD3E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7614E-97D0-4C6C-9372-F90CB015303A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72E59-5CD3-43BF-AF9F-290CCA3B7941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4C6CD-CBCB-450B-8535-3EFCFF62CBA3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89045-242C-4FCB-8B97-05DAB35EC93A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FB8CD-3138-4FE9-97E4-E672A903B24F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574DA-46D4-429B-A110-ACD9FC419362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217A5-4B04-4317-B5CC-DF8342896435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1AF6C-F71F-47B5-AC38-9EBD62968943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2E868-27B7-41C9-803C-13E87FDD5315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E4030-6DB3-4DAF-9B99-3F6C979780F4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974D-6CF4-4448-BEBC-9A8FB332EC09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2DAAE-99DD-4562-B050-EE1A07EED1D1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0F70C-744D-4A30-B5F7-D0EA288FE743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5CD28-89E2-478F-848F-84AA2574EC1D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D91669-0869-4879-95F8-ACF266757FC8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CB207-0255-436E-A2E6-35DFDECC125A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F0397-455A-4E1D-A827-CE1B79F5F188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28238A-98EA-46BD-B1A9-F4A9BB9DCDF7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4E2DD9-B42A-4165-AA47-A0B192484227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67FA9-25EC-4C4B-936F-263271DDE36B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496D6-0C87-4B2A-BD03-E51D91FFABBC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20E28-0F1B-4D26-9513-00EC3B5205A2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D81CD-9B73-4281-ADA0-8E92AE95284D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94538-0DE2-417C-9B37-C4C44FF0255B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46867-3746-4B6D-812E-87BE37367969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FBA33-02F3-4001-A276-1875777E9CE7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11490-85A8-4721-ADB4-60E080FB6BC5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508C9-C116-439F-901A-9979815C7ECC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918AF-F97B-4865-8247-3EE9A303B2CA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FFD09-D5D6-4796-AF47-1C64CB8B3C22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D094D-44D2-4CE3-802B-4E8488FE1C11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E8B36-97B3-4D00-9555-5A6C036F4D12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7D5B2-A63B-41C4-B7D0-A7835E926F31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D3C9F-3E62-4BD9-B774-A866FD6CFD58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54E3F-A94A-4A6B-9A40-7C1EAD65FFA1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60964-32E9-4800-86FE-89FCBAB7C737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FA653-51F8-4F63-86F5-6CF771F3BF4D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0E9E5-9D1C-4913-AB3D-B8FA8D2C9255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7D3CD-2ED2-40FF-A79C-9A3BF5963170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57B73-CAF0-4BE8-8605-9B1FE4D305F6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1DC53-5EA8-40EB-90E0-D3633872D040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B72FB-5988-4E46-8574-D9CAFF53ED46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BCE3C-B26D-4B62-A402-6527947DF6AB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333204-B9F5-4460-930A-AA7D1AD7B7A6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AD74-40BB-4D81-8F86-49642CB935F7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D34D1-E202-4AA0-8758-6A3C8A395C23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2B6C4-1922-4B6D-878D-D13B70084254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8E9CD-4F53-4EA7-A0EE-999A41E43B08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D5121-57C3-429D-BD56-FE79DEB0F7BE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F0418-9CC2-4C14-92CD-5ADF90911DFE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D68E7-E86C-49B4-B8F7-F262CB5539E4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62CCC-4811-49C0-9808-1C0794B8696F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C5655-77AF-4DE8-9353-6C63C83EA8AE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B94EF-D36D-40D9-850D-4EDBEC156AFD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CA02A-46A5-436B-A3C1-FE9F9CBDC3B3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AA5272-3119-4900-9279-79E49DC17944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E7228-3BBE-4585-B2BB-DE08BDAF293E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A8470-BC99-48A4-93D3-DAD8A456A455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BCB29-7F96-44FF-B586-693D526815E6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C7896-CFF9-4D07-A638-8050822D77C1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DDB34-5278-4DCF-8B0C-A3EA3062309C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7A28A-EABF-4D3B-A218-B385B2D7F45B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49C1F-F76E-44F3-ACDD-11B568C549D4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F3F5E-7899-4E62-93D6-E3DD2D27663D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2C16C-1639-45A1-852A-2632C45CFA5C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B5B83-A7EE-4C61-87B0-ED17474475A6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7FABAB-7925-414D-BFB9-BC203ECBEA80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058FF-AFD6-4B92-8C70-98EB3439A9D3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085F6-4E66-41AC-9910-35B4FCBEE043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2F65C-7F5A-496E-83E6-2321FAB83FF3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72B92-1EEE-4E62-9548-0A9835B3A38B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9A5B6-4963-477B-9BB5-067674237436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A073A-3387-4054-B5A5-A87ED1379B7F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D1631-A70B-4C39-BB62-A39868C83F0D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9ABE5-8FC9-438E-BEA9-10585D08EF80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25EA-AC37-4373-B8BC-60BAEA091E01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5681C-7B02-42B4-8AE1-53702662C946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F5D4-44B7-4251-B410-95ED895F6A6A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6C0EF-DD66-4E3D-B8FB-637D967FFC71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3356D-1CA4-4EFD-B919-591AB4474F34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18DD7-7F2C-45BE-8B14-0995BA142160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A2B01-065D-418A-9D1A-728EF16C6FEF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D8156-8F95-4852-A4C6-B7E6BD75E771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41F56-D304-4154-8C15-FFED4787FE8C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B7C914-BA81-4D1C-98ED-FDD948DD2FC8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92DC4-AE50-456C-9731-C6F20B72FCD4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B90EC-3F6E-42CA-A0D8-38B6FBDEFAF7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80005-6425-4067-8779-BDBB99BD5744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0A66A-CDA9-453E-8169-7189B5A08A26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8C48E-F52A-4773-84DF-2712B52FE865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9192B-99C4-410A-AA2C-64C9261BE598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9AA16-6410-4EAD-8D89-6144E234C577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7FBE1-CFD6-4062-A98E-C3E3076905FA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DA591-CACE-41B3-9B28-8E293C167C49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9A8A4-AA19-4C88-ADE7-94A95C7F367F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2063D-38D0-452C-B7FF-3E8EEE72FE48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3EC0A-5E49-4366-8E00-DA1733E3E6DB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5FB95-D27A-4B67-B074-00E7C68B125C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4D297-1C1F-410D-BF47-2D4B2E9959C4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38EA1-46CD-4671-B51D-79DCBC47571C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440F7-AC33-4D32-BA72-C02AE7B7B161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8C748-D98D-4AE4-B0FF-46B7E0E52FCF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E5115-BD21-4DC6-857E-70AE9471115E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5AF64-24BD-4EFC-A0C2-09B23648CFAF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D2073-0F8C-4779-BDE4-7B3ACCE4355E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78358-1CE5-4EEA-AE6E-D6B2C8FC2281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D8E9C-4656-4F3F-BC18-C90CF7A69C7A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7C5D1-552E-4DBF-9F68-333816C859E3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C1E3B-B191-4E04-994A-B4E7B832BE24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011CA-660D-4C7B-9330-1440F56F8CC5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D6D48-39A1-4B51-9DF1-76C2548E20A6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43BFF-5EFC-4120-9D71-791EC2E484BD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5A132-D1B9-4196-94C7-FECBA2142A0B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D56F1-D906-4859-8658-0F80B98BD238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D4E82-9DE3-4C63-87CF-552A77CDA0C9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044A6-67EE-45B3-A123-360D94ADE108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B7F8E-BE23-422C-B9B2-47C02D19205B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F8771-DE7B-4296-A170-0AAF43F18097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C8C49-3D74-4764-8F64-FF29CEF56DB9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ED53C-FDA8-4076-B595-DD82672CCECB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FB45F-88C6-4436-B9FD-F301EB31F8D6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3CDB9-75DB-49E4-AC0D-6020B4C32E07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8FDB5-93DC-4111-AB7C-35A4B35E456C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362C4-95D2-4ABD-B7AB-D5B5A50AE2AD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AA538-11D5-4ECC-B300-F6728652D132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33788-A9BE-4BFA-AD5D-92378128F942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E4476-474A-4907-92DC-A199E8B8D672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E7833-0E3F-4FE2-BD97-FA3B29F31CB5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CDFCFB-B93F-4E33-B6B9-E752F5050E24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00B66-183F-4E13-9E42-B7F869F6D597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BAA14-F3D2-4B92-8325-626E9D2192E7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96FD0-DDE4-4425-8E0C-2C405DCC0D5C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B47D03-92A6-4799-BFA5-3F592460E981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D483FC-245C-4BFE-B973-608C93021052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53A8A-F143-4765-8E02-D1C9C8D52E6F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A3AC8-7CC2-4188-B926-5D5ECCE42B46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D5ABE9-C994-4BBD-9DC5-D698BA2E1FA7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BACF3C-8658-482A-9C31-6C5EFB3AFB45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24203-5B14-43CB-A75F-D726BC5E2CBE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F66DB-58EC-484D-B1CF-8ACE66C4064C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C1E06-4F15-4AA6-8203-7E6CC3DF31F1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CDB3F-00B6-4A2F-99F0-32BE996F7794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B60D3-AEAE-458A-B4D2-322CF8AAFDDC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ED32D-FC2B-429E-98F5-52437EC65DFA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ADA99-B2CE-4F06-9B90-4F6B6A68CD9E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35CEA-6688-48FB-9CDB-6898084626D3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A6741-A99F-4705-B970-9510CB616516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9EABA7-AF83-4C50-9CA1-DDE2296C0920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DA6E9-342A-45DD-ADBE-DA9DA653A69E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72566-2791-44F6-932F-11494A1787F7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5522F-ADA3-4F8E-8145-32F433A6CB6D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7391C-DF58-4096-B8CA-948CC20649C2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C2CA6-A5AC-42A9-A9AE-3F1F5C8C3E83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83154-F9E8-41B5-9321-0B1CE04BDD5A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8C9A9-5E33-4AD9-BAA0-5988A7B38556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47EDB-86A3-48EE-BC6F-1705FC3306A8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EDA4D-B3D1-4C5C-8B58-5945A1194A59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34DDB-8091-412B-BAF1-BD942D7F3099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58F44-5570-4F76-A8BE-A3DAE848254E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B71D3-7037-471C-8E3C-85666CC8B2CD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12FDC-4FB8-4E73-9BCE-B50669796522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3CDFA0-1EC7-49D4-B13D-3B53D9FA6EB9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0082A-C804-41D8-AC8F-8D5B75482AB1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724D4-14C9-4EC3-9680-08F7502C9497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D6606-4A66-426C-BA4F-2016012CDBAC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36D91-C05A-409B-9706-2D266CD92850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21A5A-84AC-48CC-9A43-0748B1D60D4F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2110E-EB62-4631-9C75-D95C5258A4DD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A7356-E278-4E73-A1B4-F67BB05A149B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B4D4B-1E79-456F-A857-0075F9FAC002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23CE0-7FC4-4549-A7AC-A2A28A65346F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98F2A-3344-42B3-82E2-C58373BAB11B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BDB6E-30CA-45F9-98AC-B727ABA7D614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3F24C-C250-4B2D-A0BA-A2EEFAB4C902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14012-15D2-4FD8-8C28-94FA76882DDB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963085-CF9F-4C8B-81F9-CA55BA4A0BE7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791C9B-5F52-4FF7-AD1D-A26612AA215A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290BE7-1746-4350-AA8C-AD50782AF749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A81B2-E500-47A5-9773-06F907A50A08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BC20F-0B22-42DE-8446-F627F3E2327E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2F54D-259E-4D11-9ED4-E80F167812E5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B9D9F5-EDD9-4D39-BF2A-B66A301BD626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0FE58-AAAA-4CE6-85A4-1E33575AB0CC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B28E0-5DE8-490B-9062-898ECC73E432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BB777-AA13-4F4A-9889-68F602F9241B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8A840-6279-4EF1-99FA-03930D8628AA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D7D1B-A560-4F16-8AAC-9E71077427FF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F4F8D-F0AD-404D-B96B-FA9BA6416DF0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3D0CA-FE21-4189-90C7-A9BF071125A8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EA8F8-9AAD-4B58-BD55-E67D0284816C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F4433-9FB5-429C-917C-BE5BCC760482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D6B70E-9654-4F43-80BF-E967F23AA3F6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52425-3913-448B-BFB6-9A0BD8174FD5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8DB6F-9293-4FB6-AC5C-83A5A915FFED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3DFAB-EA8A-45C0-BD4E-24374169D8AE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43BF6E-CF0E-410A-B052-DF1C43D95991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E1F0F-3021-4DFA-ABAB-F1019D0C14FA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E8A31-F02B-4A20-8A18-77C5A695F0DE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B2CC7-040C-427C-A58A-FD44511A2999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BACAE-4159-4518-9B86-1563AAEC5657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761D7-3735-4678-9E80-7EF4258CF194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31399-F438-44EC-8D34-F759E96D08C1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E9EA9-63E2-466C-9121-1A6FF665D75C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13A6E-216F-40AD-BE4E-0888102B60E3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29C7F-C2F6-4386-B6A6-CA5AEC82E8D1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AC36B-101C-4066-9778-33E57075C31D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8A381-F6AB-446F-B4B4-6367AF5ADCA7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88DC7-8BB0-4E1E-846D-34299B616E38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17C8A-7B92-48F0-B86A-56B1A66EC553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CD6A8-5B04-421D-A2FC-9E66F5B48FB6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C60372-8ECC-4C87-8375-134CDA64A75B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D96EFB-268B-4C27-9A69-3BC38400B835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8B03E-7260-4041-8531-42DD1267B3F8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7AEEF-0674-455B-A5EA-67E527E0AEF3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440B38-29CB-42C9-8827-B1026A94D0B8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FEC39-AD48-4E01-B5D4-E641EF71B4F1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0B70D-0A8C-4F61-B196-0B7330D3CB98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9CA93-BCF4-4326-A974-4DA371584532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71793-44A5-4AD3-960D-722400BADF73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719554-C588-429B-9BCE-7893404818CB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D29D5-3114-4C28-8BBD-8E198BF02F48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B227F5-8030-457E-B17F-672B1E1392A1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858CA-828F-4BD1-BB5E-BED2CCCFB41F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7FEE7-1C35-49ED-BEDE-4CA3518A53EC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E62A9E-97A5-4CA8-9D94-C5E0CC5C89E8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C56191-D515-4EA0-8D7E-471739C34F92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B4525-D13E-40A7-985C-27ABB06D08B9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A8562-FB14-4FFC-98BE-5DABED56FA5F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5C61A-9711-4A01-A6DB-74BF3EFC1791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6434E-FE78-4127-A053-19DCBB9A6D31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46B4E-545E-42E6-8D02-EA4649DD931F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2827E-26FE-4668-8EFB-83EF8EE51535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33251-8FA6-4CF0-A07B-329F96240497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ED922-4888-45E0-A557-CDC697EB0D11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255</vt:i4>
      </vt:variant>
    </vt:vector>
  </HeadingPairs>
  <TitlesOfParts>
    <vt:vector size="255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Sheet11</vt:lpstr>
      <vt:lpstr>Sheet12</vt:lpstr>
      <vt:lpstr>Sheet13</vt:lpstr>
      <vt:lpstr>Sheet14</vt:lpstr>
      <vt:lpstr>Sheet15</vt:lpstr>
      <vt:lpstr>Sheet16</vt:lpstr>
      <vt:lpstr>Sheet17</vt:lpstr>
      <vt:lpstr>Sheet18</vt:lpstr>
      <vt:lpstr>Sheet19</vt:lpstr>
      <vt:lpstr>Sheet20</vt:lpstr>
      <vt:lpstr>Sheet21</vt:lpstr>
      <vt:lpstr>Sheet22</vt:lpstr>
      <vt:lpstr>Sheet23</vt:lpstr>
      <vt:lpstr>Sheet24</vt:lpstr>
      <vt:lpstr>Sheet25</vt:lpstr>
      <vt:lpstr>Sheet26</vt:lpstr>
      <vt:lpstr>Sheet27</vt:lpstr>
      <vt:lpstr>Sheet28</vt:lpstr>
      <vt:lpstr>Sheet29</vt:lpstr>
      <vt:lpstr>Sheet30</vt:lpstr>
      <vt:lpstr>Sheet31</vt:lpstr>
      <vt:lpstr>Sheet32</vt:lpstr>
      <vt:lpstr>Sheet33</vt:lpstr>
      <vt:lpstr>Sheet34</vt:lpstr>
      <vt:lpstr>Sheet35</vt:lpstr>
      <vt:lpstr>Sheet36</vt:lpstr>
      <vt:lpstr>Sheet37</vt:lpstr>
      <vt:lpstr>Sheet38</vt:lpstr>
      <vt:lpstr>Sheet39</vt:lpstr>
      <vt:lpstr>Sheet40</vt:lpstr>
      <vt:lpstr>Sheet41</vt:lpstr>
      <vt:lpstr>Sheet42</vt:lpstr>
      <vt:lpstr>Sheet43</vt:lpstr>
      <vt:lpstr>Sheet44</vt:lpstr>
      <vt:lpstr>Sheet45</vt:lpstr>
      <vt:lpstr>Sheet46</vt:lpstr>
      <vt:lpstr>Sheet47</vt:lpstr>
      <vt:lpstr>Sheet48</vt:lpstr>
      <vt:lpstr>Sheet49</vt:lpstr>
      <vt:lpstr>Sheet50</vt:lpstr>
      <vt:lpstr>Sheet51</vt:lpstr>
      <vt:lpstr>Sheet52</vt:lpstr>
      <vt:lpstr>Sheet53</vt:lpstr>
      <vt:lpstr>Sheet54</vt:lpstr>
      <vt:lpstr>Sheet55</vt:lpstr>
      <vt:lpstr>Sheet56</vt:lpstr>
      <vt:lpstr>Sheet57</vt:lpstr>
      <vt:lpstr>Sheet58</vt:lpstr>
      <vt:lpstr>Sheet59</vt:lpstr>
      <vt:lpstr>Sheet60</vt:lpstr>
      <vt:lpstr>Sheet61</vt:lpstr>
      <vt:lpstr>Sheet62</vt:lpstr>
      <vt:lpstr>Sheet63</vt:lpstr>
      <vt:lpstr>Sheet64</vt:lpstr>
      <vt:lpstr>Sheet65</vt:lpstr>
      <vt:lpstr>Sheet66</vt:lpstr>
      <vt:lpstr>Sheet67</vt:lpstr>
      <vt:lpstr>Sheet68</vt:lpstr>
      <vt:lpstr>Sheet69</vt:lpstr>
      <vt:lpstr>Sheet70</vt:lpstr>
      <vt:lpstr>Sheet71</vt:lpstr>
      <vt:lpstr>Sheet72</vt:lpstr>
      <vt:lpstr>Sheet73</vt:lpstr>
      <vt:lpstr>Sheet74</vt:lpstr>
      <vt:lpstr>Sheet75</vt:lpstr>
      <vt:lpstr>Sheet76</vt:lpstr>
      <vt:lpstr>Sheet77</vt:lpstr>
      <vt:lpstr>Sheet78</vt:lpstr>
      <vt:lpstr>Sheet79</vt:lpstr>
      <vt:lpstr>Sheet80</vt:lpstr>
      <vt:lpstr>Sheet81</vt:lpstr>
      <vt:lpstr>Sheet82</vt:lpstr>
      <vt:lpstr>Sheet83</vt:lpstr>
      <vt:lpstr>Sheet84</vt:lpstr>
      <vt:lpstr>Sheet85</vt:lpstr>
      <vt:lpstr>Sheet86</vt:lpstr>
      <vt:lpstr>Sheet87</vt:lpstr>
      <vt:lpstr>Sheet88</vt:lpstr>
      <vt:lpstr>Sheet89</vt:lpstr>
      <vt:lpstr>Sheet90</vt:lpstr>
      <vt:lpstr>Sheet91</vt:lpstr>
      <vt:lpstr>Sheet92</vt:lpstr>
      <vt:lpstr>Sheet93</vt:lpstr>
      <vt:lpstr>Sheet94</vt:lpstr>
      <vt:lpstr>Sheet95</vt:lpstr>
      <vt:lpstr>Sheet96</vt:lpstr>
      <vt:lpstr>Sheet97</vt:lpstr>
      <vt:lpstr>Sheet98</vt:lpstr>
      <vt:lpstr>Sheet99</vt:lpstr>
      <vt:lpstr>Sheet100</vt:lpstr>
      <vt:lpstr>Sheet101</vt:lpstr>
      <vt:lpstr>Sheet102</vt:lpstr>
      <vt:lpstr>Sheet103</vt:lpstr>
      <vt:lpstr>Sheet104</vt:lpstr>
      <vt:lpstr>Sheet105</vt:lpstr>
      <vt:lpstr>Sheet106</vt:lpstr>
      <vt:lpstr>Sheet107</vt:lpstr>
      <vt:lpstr>Sheet108</vt:lpstr>
      <vt:lpstr>Sheet109</vt:lpstr>
      <vt:lpstr>Sheet110</vt:lpstr>
      <vt:lpstr>Sheet111</vt:lpstr>
      <vt:lpstr>Sheet112</vt:lpstr>
      <vt:lpstr>Sheet113</vt:lpstr>
      <vt:lpstr>Sheet114</vt:lpstr>
      <vt:lpstr>Sheet115</vt:lpstr>
      <vt:lpstr>Sheet116</vt:lpstr>
      <vt:lpstr>Sheet117</vt:lpstr>
      <vt:lpstr>Sheet118</vt:lpstr>
      <vt:lpstr>Sheet119</vt:lpstr>
      <vt:lpstr>Sheet120</vt:lpstr>
      <vt:lpstr>Sheet121</vt:lpstr>
      <vt:lpstr>Sheet122</vt:lpstr>
      <vt:lpstr>Sheet123</vt:lpstr>
      <vt:lpstr>Sheet124</vt:lpstr>
      <vt:lpstr>Sheet125</vt:lpstr>
      <vt:lpstr>Sheet126</vt:lpstr>
      <vt:lpstr>Sheet127</vt:lpstr>
      <vt:lpstr>Sheet128</vt:lpstr>
      <vt:lpstr>Sheet129</vt:lpstr>
      <vt:lpstr>Sheet130</vt:lpstr>
      <vt:lpstr>Sheet131</vt:lpstr>
      <vt:lpstr>Sheet132</vt:lpstr>
      <vt:lpstr>Sheet133</vt:lpstr>
      <vt:lpstr>Sheet134</vt:lpstr>
      <vt:lpstr>Sheet135</vt:lpstr>
      <vt:lpstr>Sheet136</vt:lpstr>
      <vt:lpstr>Sheet137</vt:lpstr>
      <vt:lpstr>Sheet138</vt:lpstr>
      <vt:lpstr>Sheet139</vt:lpstr>
      <vt:lpstr>Sheet140</vt:lpstr>
      <vt:lpstr>Sheet141</vt:lpstr>
      <vt:lpstr>Sheet142</vt:lpstr>
      <vt:lpstr>Sheet143</vt:lpstr>
      <vt:lpstr>Sheet144</vt:lpstr>
      <vt:lpstr>Sheet145</vt:lpstr>
      <vt:lpstr>Sheet146</vt:lpstr>
      <vt:lpstr>Sheet147</vt:lpstr>
      <vt:lpstr>Sheet148</vt:lpstr>
      <vt:lpstr>Sheet149</vt:lpstr>
      <vt:lpstr>Sheet150</vt:lpstr>
      <vt:lpstr>Sheet151</vt:lpstr>
      <vt:lpstr>Sheet152</vt:lpstr>
      <vt:lpstr>Sheet153</vt:lpstr>
      <vt:lpstr>Sheet154</vt:lpstr>
      <vt:lpstr>Sheet155</vt:lpstr>
      <vt:lpstr>Sheet156</vt:lpstr>
      <vt:lpstr>Sheet157</vt:lpstr>
      <vt:lpstr>Sheet158</vt:lpstr>
      <vt:lpstr>Sheet159</vt:lpstr>
      <vt:lpstr>Sheet160</vt:lpstr>
      <vt:lpstr>Sheet161</vt:lpstr>
      <vt:lpstr>Sheet162</vt:lpstr>
      <vt:lpstr>Sheet163</vt:lpstr>
      <vt:lpstr>Sheet164</vt:lpstr>
      <vt:lpstr>Sheet165</vt:lpstr>
      <vt:lpstr>Sheet166</vt:lpstr>
      <vt:lpstr>Sheet167</vt:lpstr>
      <vt:lpstr>Sheet168</vt:lpstr>
      <vt:lpstr>Sheet169</vt:lpstr>
      <vt:lpstr>Sheet170</vt:lpstr>
      <vt:lpstr>Sheet171</vt:lpstr>
      <vt:lpstr>Sheet172</vt:lpstr>
      <vt:lpstr>Sheet173</vt:lpstr>
      <vt:lpstr>Sheet174</vt:lpstr>
      <vt:lpstr>Sheet175</vt:lpstr>
      <vt:lpstr>Sheet176</vt:lpstr>
      <vt:lpstr>Sheet177</vt:lpstr>
      <vt:lpstr>Sheet178</vt:lpstr>
      <vt:lpstr>Sheet179</vt:lpstr>
      <vt:lpstr>Sheet180</vt:lpstr>
      <vt:lpstr>Sheet181</vt:lpstr>
      <vt:lpstr>Sheet182</vt:lpstr>
      <vt:lpstr>Sheet183</vt:lpstr>
      <vt:lpstr>Sheet184</vt:lpstr>
      <vt:lpstr>Sheet185</vt:lpstr>
      <vt:lpstr>Sheet186</vt:lpstr>
      <vt:lpstr>Sheet187</vt:lpstr>
      <vt:lpstr>Sheet188</vt:lpstr>
      <vt:lpstr>Sheet189</vt:lpstr>
      <vt:lpstr>Sheet190</vt:lpstr>
      <vt:lpstr>Sheet191</vt:lpstr>
      <vt:lpstr>Sheet192</vt:lpstr>
      <vt:lpstr>Sheet193</vt:lpstr>
      <vt:lpstr>Sheet194</vt:lpstr>
      <vt:lpstr>Sheet195</vt:lpstr>
      <vt:lpstr>Sheet196</vt:lpstr>
      <vt:lpstr>Sheet197</vt:lpstr>
      <vt:lpstr>Sheet198</vt:lpstr>
      <vt:lpstr>Sheet199</vt:lpstr>
      <vt:lpstr>Sheet200</vt:lpstr>
      <vt:lpstr>Sheet201</vt:lpstr>
      <vt:lpstr>Sheet202</vt:lpstr>
      <vt:lpstr>Sheet203</vt:lpstr>
      <vt:lpstr>Sheet204</vt:lpstr>
      <vt:lpstr>Sheet205</vt:lpstr>
      <vt:lpstr>Sheet206</vt:lpstr>
      <vt:lpstr>Sheet207</vt:lpstr>
      <vt:lpstr>Sheet208</vt:lpstr>
      <vt:lpstr>Sheet209</vt:lpstr>
      <vt:lpstr>Sheet210</vt:lpstr>
      <vt:lpstr>Sheet211</vt:lpstr>
      <vt:lpstr>Sheet212</vt:lpstr>
      <vt:lpstr>Sheet213</vt:lpstr>
      <vt:lpstr>Sheet214</vt:lpstr>
      <vt:lpstr>Sheet215</vt:lpstr>
      <vt:lpstr>Sheet216</vt:lpstr>
      <vt:lpstr>Sheet217</vt:lpstr>
      <vt:lpstr>Sheet218</vt:lpstr>
      <vt:lpstr>Sheet219</vt:lpstr>
      <vt:lpstr>Sheet220</vt:lpstr>
      <vt:lpstr>Sheet221</vt:lpstr>
      <vt:lpstr>Sheet222</vt:lpstr>
      <vt:lpstr>Sheet223</vt:lpstr>
      <vt:lpstr>Sheet224</vt:lpstr>
      <vt:lpstr>Sheet225</vt:lpstr>
      <vt:lpstr>Sheet226</vt:lpstr>
      <vt:lpstr>Sheet227</vt:lpstr>
      <vt:lpstr>Sheet228</vt:lpstr>
      <vt:lpstr>Sheet229</vt:lpstr>
      <vt:lpstr>Sheet230</vt:lpstr>
      <vt:lpstr>Sheet231</vt:lpstr>
      <vt:lpstr>Sheet232</vt:lpstr>
      <vt:lpstr>Sheet233</vt:lpstr>
      <vt:lpstr>Sheet234</vt:lpstr>
      <vt:lpstr>Sheet235</vt:lpstr>
      <vt:lpstr>Sheet236</vt:lpstr>
      <vt:lpstr>Sheet237</vt:lpstr>
      <vt:lpstr>Sheet238</vt:lpstr>
      <vt:lpstr>Sheet239</vt:lpstr>
      <vt:lpstr>Sheet240</vt:lpstr>
      <vt:lpstr>Sheet241</vt:lpstr>
      <vt:lpstr>Sheet242</vt:lpstr>
      <vt:lpstr>Sheet243</vt:lpstr>
      <vt:lpstr>Sheet244</vt:lpstr>
      <vt:lpstr>Sheet245</vt:lpstr>
      <vt:lpstr>Sheet246</vt:lpstr>
      <vt:lpstr>Sheet247</vt:lpstr>
      <vt:lpstr>Sheet248</vt:lpstr>
      <vt:lpstr>Sheet249</vt:lpstr>
      <vt:lpstr>Sheet250</vt:lpstr>
      <vt:lpstr>Sheet251</vt:lpstr>
      <vt:lpstr>Sheet252</vt:lpstr>
      <vt:lpstr>Sheet253</vt:lpstr>
      <vt:lpstr>Sheet254</vt:lpstr>
      <vt:lpstr>Sheet255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Suraj Sahu</dc:creator>
  <cp:lastModifiedBy>Suraj Sahu</cp:lastModifiedBy>
  <dcterms:created xsi:type="dcterms:W3CDTF">2025-05-19T09:44:56Z</dcterms:created>
  <dcterms:modified xsi:type="dcterms:W3CDTF">2025-05-19T18:18:47Z</dcterms:modified>
</cp:coreProperties>
</file>